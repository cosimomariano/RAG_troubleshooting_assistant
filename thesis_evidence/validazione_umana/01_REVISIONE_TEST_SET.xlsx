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e cas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<sst xmlns="http://schemas.openxmlformats.org/spreadsheetml/2006/main" count="857" uniqueCount="194">
  <si>
    <t xml:space="preserve">Revisione manuale dei 50 casi di test</t>
  </si>
  <si>
    <t xml:space="preserve">Legenda</t>
  </si>
  <si>
    <t xml:space="preserve">Da compilare</t>
  </si>
  <si>
    <t xml:space="preserve">Dati già inseriti</t>
  </si>
  <si>
    <t xml:space="preserve">Calcolo automatico</t>
  </si>
  <si>
    <t xml:space="preserve">Casi totali</t>
  </si>
  <si>
    <t xml:space="preserve">Revisioni complete</t>
  </si>
  <si>
    <t xml:space="preserve">case_id</t>
  </si>
  <si>
    <t xml:space="preserve">failure_type</t>
  </si>
  <si>
    <t xml:space="preserve">query_type</t>
  </si>
  <si>
    <t xml:space="preserve">complexity</t>
  </si>
  <si>
    <t xml:space="preserve">source_capture_id</t>
  </si>
  <si>
    <t xml:space="preserve">question</t>
  </si>
  <si>
    <t xml:space="preserve">incident_context</t>
  </si>
  <si>
    <t xml:space="preserve">expected_root_cause</t>
  </si>
  <si>
    <t xml:space="preserve">expected_answer</t>
  </si>
  <si>
    <t xml:space="preserve">relevant_documents</t>
  </si>
  <si>
    <t xml:space="preserve">service</t>
  </si>
  <si>
    <t xml:space="preserve">stato_caso</t>
  </si>
  <si>
    <t xml:space="preserve">causa_validata</t>
  </si>
  <si>
    <t xml:space="preserve">risposta_validata</t>
  </si>
  <si>
    <t xml:space="preserve">fonti_validate</t>
  </si>
  <si>
    <t xml:space="preserve">tipo_domanda_validato</t>
  </si>
  <si>
    <t xml:space="preserve">complessita_validata</t>
  </si>
  <si>
    <t xml:space="preserve">correzione_proposta</t>
  </si>
  <si>
    <t xml:space="preserve">note</t>
  </si>
  <si>
    <t xml:space="preserve">completezza</t>
  </si>
  <si>
    <t xml:space="preserve">test_payment_unreachable_01</t>
  </si>
  <si>
    <t xml:space="preserve">payment_unreachable</t>
  </si>
  <si>
    <t xml:space="preserve">exact</t>
  </si>
  <si>
    <t xml:space="preserve">simple</t>
  </si>
  <si>
    <t xml:space="preserve">CAP-payment-unreachable-20260929-03</t>
  </si>
  <si>
    <t xml:space="preserve">Perché la chiamata a Payment fallisce quando paymentUnreachable è attivo?</t>
  </si>
  <si>
    <t xml:space="preserve">Flag paymentUnreachable attivato, variante on. AddItem HTTP 200; checkout HTTP 500.</t>
  </si>
  <si>
    <t xml:space="preserve">Indirizzo non valido usato da Checkout per contattare Payment.</t>
  </si>
  <si>
    <t xml:space="preserve">La richiesta non raggiunge Payment. Verificare il valore del flag, la connettività e la presenza della telemetria server; disattivare il flag e ripetere il checkout.</t>
  </si>
  <si>
    <t xml:space="preserve">runbooks/payment-unreachable.md
errors/error-catalog.md</t>
  </si>
  <si>
    <t xml:space="preserve">checkout</t>
  </si>
  <si>
    <t xml:space="preserve">APPROVATO</t>
  </si>
  <si>
    <t xml:space="preserve">SI</t>
  </si>
  <si>
    <t xml:space="preserve">Coerente con runbook e catalogo degli errori; domanda, causa attesa, risposta e metadati risultano allineati. La cattura di test -03 non è inclusa come file grezzo negli input minimi.</t>
  </si>
  <si>
    <t xml:space="preserve">test_payment_unreachable_02</t>
  </si>
  <si>
    <t xml:space="preserve">distributed</t>
  </si>
  <si>
    <t xml:space="preserve">complex</t>
  </si>
  <si>
    <t xml:space="preserve">Nel checkout lo span client verso Payment è in errore, ma nella stessa traccia non compare uno span server Payment: quale verifica è prioritaria?</t>
  </si>
  <si>
    <t xml:space="preserve">AddItem HTTP 200; checkout HTTP 500. Nessuno span server Payment correlato. frontend / POST /api/checkout: stato ERROR, durata 3840.2 ms.</t>
  </si>
  <si>
    <t xml:space="preserve">test_payment_unreachable_03</t>
  </si>
  <si>
    <t xml:space="preserve">Quale dipendenza emerge dalla catena di span e quale verifica la confermerebbe?</t>
  </si>
  <si>
    <t xml:space="preserve">frontend / POST /api/checkout: stato ERROR, durata 3840.2 ms. checkout / oteldemo.CheckoutService/PlaceOrder: stato ERROR, durata 3838.1 ms.</t>
  </si>
  <si>
    <t xml:space="preserve">test_payment_unreachable_04</t>
  </si>
  <si>
    <t xml:space="preserve">paraphrase</t>
  </si>
  <si>
    <t xml:space="preserve">intermediate</t>
  </si>
  <si>
    <t xml:space="preserve">Come interpreti il messaggio o il tempo osservato insieme al sintomo HTTP?</t>
  </si>
  <si>
    <t xml:space="preserve">AddItem HTTP 200; checkout HTTP 500. Messaggio gRPC: 13 INTERNAL: failed to charge card: could not charge the card: rpc error: code = Unavailable desc = name resolver error: produced zero addresses.</t>
  </si>
  <si>
    <t xml:space="preserve">test_payment_unreachable_05</t>
  </si>
  <si>
    <t xml:space="preserve">Con il solo esito HTTP, quale diagnosi è giustificata e quale evidenza manca?</t>
  </si>
  <si>
    <t xml:space="preserve">AddItem HTTP 200; checkout HTTP 500.</t>
  </si>
  <si>
    <t xml:space="preserve">L'esito HTTP isolato non identifica da solo la causa radice. Verificare il flag paymentUnreachable, gli span del servizio e le dipendenze prima di confermare la diagnosi. La richiesta non raggiunge Payment. Verificare il valore del flag, la connettività e la presenza della telemetria server; disattivare il flag e ripetere il checkout.</t>
  </si>
  <si>
    <t xml:space="preserve">test_payment_unreachable_06</t>
  </si>
  <si>
    <t xml:space="preserve">Che cosa indica lo span disponibile e quale causa resta da verificare?</t>
  </si>
  <si>
    <t xml:space="preserve">checkout / oteldemo.CheckoutService/PlaceOrder: stato ERROR, durata 3838.1 ms.</t>
  </si>
  <si>
    <t xml:space="preserve">test_payment_unreachable_07</t>
  </si>
  <si>
    <t xml:space="preserve">Quale dato è pertinente alla diagnosi e quale span normale può essere rumore?</t>
  </si>
  <si>
    <t xml:space="preserve">AddItem HTTP 200; checkout HTTP 500. cart / POST /oteldemo.CartService/GetCart: stato UNSET, durata 0.3 ms.</t>
  </si>
  <si>
    <t xml:space="preserve">test_payment_unreachable_08</t>
  </si>
  <si>
    <t xml:space="preserve">Quali controlli confermano che paymentUnreachable spiega il comportamento osservato?</t>
  </si>
  <si>
    <t xml:space="preserve">Flag paymentUnreachable attivato, variante on. checkout / oteldemo.CheckoutService/PlaceOrder: stato ERROR, durata 3838.1 ms.</t>
  </si>
  <si>
    <t xml:space="preserve">test_payment_unreachable_09</t>
  </si>
  <si>
    <t xml:space="preserve">Come colleghi il sintomo HTTP agli span del chiamante e della dipendenza?</t>
  </si>
  <si>
    <t xml:space="preserve">AddItem HTTP 200; checkout HTTP 500. frontend / POST /api/checkout: stato ERROR, durata 3840.2 ms. cart / POST /oteldemo.CartService/GetCart: stato UNSET, durata 0.3 ms.</t>
  </si>
  <si>
    <t xml:space="preserve">test_payment_unreachable_10</t>
  </si>
  <si>
    <t xml:space="preserve">Qual è la causa più plausibile, con quali limiti, e quali prime verifiche proponi?</t>
  </si>
  <si>
    <t xml:space="preserve">Flag paymentUnreachable attivato, variante on. AddItem HTTP 200; checkout HTTP 500. checkout / oteldemo.CheckoutService/PlaceOrder: stato ERROR, durata 3838.1 ms. Messaggio gRPC: 13 INTERNAL: failed to charge card: could not charge the card: rpc error: code = Unavailable desc = name resolver error: produced zero addresses. Traccia normalizzata: 25 span, 8 in errore.</t>
  </si>
  <si>
    <t xml:space="preserve">test_payment_failure_01</t>
  </si>
  <si>
    <t xml:space="preserve">payment_failure</t>
  </si>
  <si>
    <t xml:space="preserve">CAP-payment-failure-20260929-03</t>
  </si>
  <si>
    <t xml:space="preserve">Con paymentFailure al 100%, perché Charge termina con PAYMENT_FAILED?</t>
  </si>
  <si>
    <t xml:space="preserve">Flag paymentFailure attivato, variante 100%. AddItem HTTP 200; checkout HTTP 422. Codice PAYMENT_FAILED.</t>
  </si>
  <si>
    <t xml:space="preserve">Errore controllato di PaymentService.Charge introdotto dal feature flag paymentFailure.</t>
  </si>
  <si>
    <t xml:space="preserve">Payment è raggiungibile e il fallimento è coerente con paymentFailure. Verificare il flag e la percentuale configurata, quindi confrontare richieste riuscite e fallite.</t>
  </si>
  <si>
    <t xml:space="preserve">runbooks/payment-failure.md
errors/error-catalog.md</t>
  </si>
  <si>
    <t xml:space="preserve">payment</t>
  </si>
  <si>
    <t xml:space="preserve">test_payment_failure_02</t>
  </si>
  <si>
    <t xml:space="preserve">La richiesta raggiunge Payment e lo span server Charge è in errore; il checkout restituisce 422: come distinguere questo caso da un servizio irraggiungibile?</t>
  </si>
  <si>
    <t xml:space="preserve">AddItem HTTP 200; checkout HTTP 422. Codice PAYMENT_FAILED. payment / oteldemo.PaymentService/Charge: stato ERROR, durata 5.7 ms. frontend / executing api route (pages) /api/checkout: stato ERROR, durata 16.5 ms.</t>
  </si>
  <si>
    <t xml:space="preserve">test_payment_failure_03</t>
  </si>
  <si>
    <t xml:space="preserve">frontend / executing api route (pages) /api/checkout: stato ERROR, durata 16.5 ms. payment / oteldemo.PaymentService/Charge: stato ERROR, durata 5.7 ms.</t>
  </si>
  <si>
    <t xml:space="preserve">test_payment_failure_04</t>
  </si>
  <si>
    <t xml:space="preserve">AddItem HTTP 200; checkout HTTP 422. Codice PAYMENT_FAILED. Messaggio gRPC: 13 INTERNAL: failed to charge card: could not charge the card: rpc error: code = Unknown desc = Payment request failed. Invalid token. demo.user_context.loyalty_level=gold.</t>
  </si>
  <si>
    <t xml:space="preserve">test_payment_failure_05</t>
  </si>
  <si>
    <t xml:space="preserve">AddItem HTTP 200; checkout HTTP 422. Codice PAYMENT_FAILED.</t>
  </si>
  <si>
    <t xml:space="preserve">L'esito HTTP isolato non identifica da solo la causa radice. Verificare il flag paymentFailure, gli span del servizio e le dipendenze prima di confermare la diagnosi. Payment è raggiungibile e il fallimento è coerente con paymentFailure. Verificare il flag e la percentuale configurata, quindi confrontare richieste riuscite e fallite.</t>
  </si>
  <si>
    <t xml:space="preserve">test_payment_failure_06</t>
  </si>
  <si>
    <t xml:space="preserve">payment / oteldemo.PaymentService/Charge: stato ERROR, durata 5.7 ms.</t>
  </si>
  <si>
    <t xml:space="preserve">test_payment_failure_07</t>
  </si>
  <si>
    <t xml:space="preserve">AddItem HTTP 200; checkout HTTP 422. Codice PAYMENT_FAILED. frontend-proxy / POST: stato UNSET, durata 17.6 ms.</t>
  </si>
  <si>
    <t xml:space="preserve">test_payment_failure_08</t>
  </si>
  <si>
    <t xml:space="preserve">Quali controlli confermano che paymentFailure spiega il comportamento osservato?</t>
  </si>
  <si>
    <t xml:space="preserve">Flag paymentFailure attivato, variante 100%. payment / oteldemo.PaymentService/Charge: stato ERROR, durata 5.7 ms.</t>
  </si>
  <si>
    <t xml:space="preserve">test_payment_failure_09</t>
  </si>
  <si>
    <t xml:space="preserve">AddItem HTTP 200; checkout HTTP 422. Codice PAYMENT_FAILED. frontend / executing api route (pages) /api/checkout: stato ERROR, durata 16.5 ms. frontend-proxy / POST: stato UNSET, durata 17.6 ms.</t>
  </si>
  <si>
    <t xml:space="preserve">test_payment_failure_10</t>
  </si>
  <si>
    <t xml:space="preserve">Flag paymentFailure attivato, variante 100%. AddItem HTTP 200; checkout HTTP 422. Codice PAYMENT_FAILED. payment / oteldemo.PaymentService/Charge: stato ERROR, durata 5.7 ms. Messaggio gRPC: 13 INTERNAL: failed to charge card: could not charge the card: rpc error: code = Unknown desc = Payment request failed. Invalid token. demo.user_context.loyalty_level=gold. Traccia normalizzata: 35 span, 7 in errore.</t>
  </si>
  <si>
    <t xml:space="preserve">test_cart_failure_01</t>
  </si>
  <si>
    <t xml:space="preserve">cart_failure</t>
  </si>
  <si>
    <t xml:space="preserve">CAP-cart-failure-20260929-03</t>
  </si>
  <si>
    <t xml:space="preserve">Con cartFailure al 100%, perché EmptyCart non completa il checkout?</t>
  </si>
  <si>
    <t xml:space="preserve">Flag cartFailure attivato, variante 100%. AddItem HTTP 200; checkout HTTP 504.</t>
  </si>
  <si>
    <t xml:space="preserve">Fallimento controllato dell'operazione CartService.EmptyCart.</t>
  </si>
  <si>
    <t xml:space="preserve">Il guasto è selettivo su EmptyCart ed è coerente con cartFailure. Verificare trace e log Cart, escludere Valkey e ripetere la prova con il flag disattivato.</t>
  </si>
  <si>
    <t xml:space="preserve">runbooks/cart-failure.md
errors/error-catalog.md</t>
  </si>
  <si>
    <t xml:space="preserve">cart</t>
  </si>
  <si>
    <t xml:space="preserve">test_cart_failure_02</t>
  </si>
  <si>
    <t xml:space="preserve">AddItem ha restituito 200, ma il checkout è terminato con 504 e lo span EmptyCart è in errore: quali controlli collegano sintomo e dipendenza?</t>
  </si>
  <si>
    <t xml:space="preserve">AddItem HTTP 200; checkout HTTP 504. cart / POST /oteldemo.CartService/EmptyCart: stato ERROR, durata 112267.5 ms. checkout / oteldemo.CartService/EmptyCart: stato ERROR, durata 112272.9 ms.</t>
  </si>
  <si>
    <t xml:space="preserve">test_cart_failure_03</t>
  </si>
  <si>
    <t xml:space="preserve">checkout / oteldemo.CartService/EmptyCart: stato ERROR, durata 112272.9 ms. cart / POST /oteldemo.CartService/EmptyCart: stato ERROR, durata 112267.5 ms.</t>
  </si>
  <si>
    <t xml:space="preserve">test_cart_failure_04</t>
  </si>
  <si>
    <t xml:space="preserve">AddItem HTTP 200; checkout HTTP 504. cart / POST /oteldemo.CartService/EmptyCart: stato ERROR, durata 112267.5 ms.</t>
  </si>
  <si>
    <t xml:space="preserve">test_cart_failure_05</t>
  </si>
  <si>
    <t xml:space="preserve">AddItem HTTP 200; checkout HTTP 504.</t>
  </si>
  <si>
    <t xml:space="preserve">L'esito HTTP isolato non identifica da solo la causa radice. Verificare il flag cartFailure, gli span del servizio e le dipendenze prima di confermare la diagnosi. Il guasto è selettivo su EmptyCart ed è coerente con cartFailure. Verificare trace e log Cart, escludere Valkey e ripetere la prova con il flag disattivato.</t>
  </si>
  <si>
    <t xml:space="preserve">test_cart_failure_06</t>
  </si>
  <si>
    <t xml:space="preserve">cart / POST /oteldemo.CartService/EmptyCart: stato ERROR, durata 112267.5 ms.</t>
  </si>
  <si>
    <t xml:space="preserve">test_cart_failure_07</t>
  </si>
  <si>
    <t xml:space="preserve">AddItem HTTP 200; checkout HTTP 504. frontend-proxy / router frontend egress: stato UNSET, durata 14998.9 ms.</t>
  </si>
  <si>
    <t xml:space="preserve">test_cart_failure_08</t>
  </si>
  <si>
    <t xml:space="preserve">Quali controlli confermano che cartFailure spiega il comportamento osservato?</t>
  </si>
  <si>
    <t xml:space="preserve">Flag cartFailure attivato, variante 100%. cart / POST /oteldemo.CartService/EmptyCart: stato ERROR, durata 112267.5 ms.</t>
  </si>
  <si>
    <t xml:space="preserve">test_cart_failure_09</t>
  </si>
  <si>
    <t xml:space="preserve">AddItem HTTP 200; checkout HTTP 504. checkout / oteldemo.CartService/EmptyCart: stato ERROR, durata 112272.9 ms. frontend-proxy / router frontend egress: stato UNSET, durata 14998.9 ms.</t>
  </si>
  <si>
    <t xml:space="preserve">test_cart_failure_10</t>
  </si>
  <si>
    <t xml:space="preserve">Flag cartFailure attivato, variante 100%. AddItem HTTP 200; checkout HTTP 504. cart / POST /oteldemo.CartService/EmptyCart: stato ERROR, durata 112267.5 ms. cart / POST /oteldemo.CartService/EmptyCart: stato ERROR, durata 112267.5 ms. Traccia normalizzata: 44 span, 3 in errore.</t>
  </si>
  <si>
    <t xml:space="preserve">Lo scenario, la causa e la risposta attesa sono coerenti; incident_context ripete lo span Cart e deve riportare anche lo span client di Checkout. La cattura di test -03 non è inclusa come file grezzo negli input minimi.</t>
  </si>
  <si>
    <t xml:space="preserve">test_product_catalog_failure_01</t>
  </si>
  <si>
    <t xml:space="preserve">product_catalog_failure</t>
  </si>
  <si>
    <t xml:space="preserve">CAP-product-catalog-failure-20260929-03</t>
  </si>
  <si>
    <t xml:space="preserve">Con productCatalogFailure attivo, perché GetProduct fallisce per OLJCESPC7Z?</t>
  </si>
  <si>
    <t xml:space="preserve">Targeting productCatalogFailure temporaneamente corretto: ramo vero on. GET prodotto target: HTTP 500; GET controllo: HTTP 200.</t>
  </si>
  <si>
    <t xml:space="preserve">Fallimento controllato di GetProduct per il prodotto OLJCESPC7Z.</t>
  </si>
  <si>
    <t xml:space="preserve">Il comportamento selettivo è coerente con productCatalogFailure e non dimostra un guasto generale di PostgreSQL. Confrontare altri prodotti e ripetere GetProduct dopo aver disattivato il flag.</t>
  </si>
  <si>
    <t xml:space="preserve">runbooks/product-catalog-failure.md
errors/error-catalog.md</t>
  </si>
  <si>
    <t xml:space="preserve">product-catalog</t>
  </si>
  <si>
    <t xml:space="preserve">Scenario e valori HTTP coerenti con il runbook. La correzione elimina il riferimento operativo alla patch e descrive la modifica temporanea della regola di targeting. La cattura di test -03 non è inclusa come file grezzo negli input minimi.</t>
  </si>
  <si>
    <t xml:space="preserve">test_product_catalog_failure_02</t>
  </si>
  <si>
    <t xml:space="preserve">GetProduct è in errore per un articolo, mentre un prodotto di controllo risponde 200: quali evidenze servono per escludere un guasto generale del catalogo?</t>
  </si>
  <si>
    <t xml:space="preserve">GET prodotto target: HTTP 500; GET controllo: HTTP 200. Prima e dopo la patch il target risponde 200 e 200. frontend / oteldemo.ProductCatalogService/GetProduct: stato ERROR, durata 2.4 ms.</t>
  </si>
  <si>
    <t xml:space="preserve">test_product_catalog_failure_03</t>
  </si>
  <si>
    <t xml:space="preserve">frontend / oteldemo.ProductCatalogService/GetProduct: stato ERROR, durata 2.4 ms. product-catalog / oteldemo.ProductCatalogService/GetProduct: stato ERROR, durata 1.3 ms.</t>
  </si>
  <si>
    <t xml:space="preserve">test_product_catalog_failure_04</t>
  </si>
  <si>
    <t xml:space="preserve">GET prodotto target: HTTP 500; GET controllo: HTTP 200. Messaggio gRPC: 13 INTERNAL: Error: Product Catalog Fail Feature Flag Enabled.</t>
  </si>
  <si>
    <t xml:space="preserve">test_product_catalog_failure_05</t>
  </si>
  <si>
    <t xml:space="preserve">GET prodotto target: HTTP 500; GET controllo: HTTP 200.</t>
  </si>
  <si>
    <t xml:space="preserve">L'esito HTTP isolato non identifica da solo la causa radice. Verificare il flag productCatalogFailure, gli span del servizio e le dipendenze prima di confermare la diagnosi. Il comportamento selettivo è coerente con productCatalogFailure e non dimostra un guasto generale di PostgreSQL. Confrontare altri prodotti e ripetere GetProduct dopo aver disattivato il flag.</t>
  </si>
  <si>
    <t xml:space="preserve">test_product_catalog_failure_06</t>
  </si>
  <si>
    <t xml:space="preserve">product-catalog / oteldemo.ProductCatalogService/GetProduct: stato ERROR, durata 1.3 ms.</t>
  </si>
  <si>
    <t xml:space="preserve">test_product_catalog_failure_07</t>
  </si>
  <si>
    <t xml:space="preserve">GET prodotto target: HTTP 500; GET controllo: HTTP 200. Nessuno span della categoria selezionata nella traccia.</t>
  </si>
  <si>
    <t xml:space="preserve">test_product_catalog_failure_08</t>
  </si>
  <si>
    <t xml:space="preserve">Quali controlli confermano che productCatalogFailure spiega il comportamento osservato?</t>
  </si>
  <si>
    <t xml:space="preserve">Targeting productCatalogFailure temporaneamente corretto: ramo vero on. product-catalog / oteldemo.ProductCatalogService/GetProduct: stato ERROR, durata 1.3 ms.</t>
  </si>
  <si>
    <t xml:space="preserve">test_product_catalog_failure_09</t>
  </si>
  <si>
    <t xml:space="preserve">GET prodotto target: HTTP 500; GET controllo: HTTP 200. frontend / oteldemo.ProductCatalogService/GetProduct: stato ERROR, durata 2.4 ms. Nessuno span della categoria selezionata nella traccia.</t>
  </si>
  <si>
    <t xml:space="preserve">test_product_catalog_failure_10</t>
  </si>
  <si>
    <t xml:space="preserve">Targeting productCatalogFailure temporaneamente corretto: ramo vero on. GET prodotto target: HTTP 500; GET controllo: HTTP 200. product-catalog / oteldemo.ProductCatalogService/GetProduct: stato ERROR, durata 1.3 ms. Messaggio gRPC: 13 INTERNAL: Error: Product Catalog Fail Feature Flag Enabled. Traccia normalizzata: 7 span, 7 in errore.</t>
  </si>
  <si>
    <t xml:space="preserve">test_product_catalog_lock_contention_01</t>
  </si>
  <si>
    <t xml:space="preserve">product_catalog_lock_contention</t>
  </si>
  <si>
    <t xml:space="preserve">CAP-product-catalog-lock-contention-20260929-03</t>
  </si>
  <si>
    <t xml:space="preserve">Che effetto produce productCatalogLockContention sulle richieste GetProduct?</t>
  </si>
  <si>
    <t xml:space="preserve">Flag productCatalogLockContention attivato nella finestra fault. baseline: 12/12 HTTP 200, mediana 8.0 ms; fault: 8/12 HTTP 200, mediana 7111.3 ms; recovery: 12/12 HTTP 200, mediana 8.8 ms</t>
  </si>
  <si>
    <t xml:space="preserve">Contesa controllata sui lock del database usato da Product Catalog.</t>
  </si>
  <si>
    <t xml:space="preserve">Le evidenze sono coerenti con contesa sui lock PostgreSQL. Confrontare finestre e operazioni multiple, conservare le metriche di latenza e non confondere il caso con productCatalogFailure.</t>
  </si>
  <si>
    <t xml:space="preserve">runbooks/product-catalog-lock-contention.md
errors/error-catalog.md</t>
  </si>
  <si>
    <t xml:space="preserve">test_product_catalog_lock_contention_02</t>
  </si>
  <si>
    <t xml:space="preserve">Durante richieste concorrenti la latenza del catalogo aumenta e torna al riferimento dopo il ripristino: come distinguere contesa transitoria da un singolo prodotto guasto?</t>
  </si>
  <si>
    <t xml:space="preserve">baseline: 12/12 HTTP 200, mediana 8.0 ms; fault: 8/12 HTTP 200, mediana 7111.3 ms; recovery: 12/12 HTTP 200, mediana 8.8 ms baseline p95 14.4 ms; fault p95 15000.1 ms; recovery p95 21.4 ms Nessuno span della categoria selezionata nella traccia.</t>
  </si>
  <si>
    <t xml:space="preserve">test_product_catalog_lock_contention_03</t>
  </si>
  <si>
    <t xml:space="preserve">Nessuno span della categoria selezionata nella traccia. product-catalog / oteldemo.ProductCatalogService/GetProduct: stato UNSET, durata 7096.7 ms.</t>
  </si>
  <si>
    <t xml:space="preserve">test_product_catalog_lock_contention_04</t>
  </si>
  <si>
    <t xml:space="preserve">baseline: 12/12 HTTP 200, mediana 8.0 ms; fault: 8/12 HTTP 200, mediana 7111.3 ms; recovery: 12/12 HTTP 200, mediana 8.8 ms baseline p95 14.4 ms; fault p95 15000.1 ms; recovery p95 21.4 ms</t>
  </si>
  <si>
    <t xml:space="preserve">test_product_catalog_lock_contention_05</t>
  </si>
  <si>
    <t xml:space="preserve">baseline: 12/12 HTTP 200, mediana 8.0 ms; fault: 8/12 HTTP 200, mediana 7111.3 ms; recovery: 12/12 HTTP 200, mediana 8.8 ms</t>
  </si>
  <si>
    <t xml:space="preserve">L'esito HTTP isolato non identifica da solo la causa radice. Verificare il flag productCatalogLockContention, gli span del servizio e le dipendenze prima di confermare la diagnosi. Le evidenze sono coerenti con contesa sui lock PostgreSQL. Confrontare finestre e operazioni multiple, conservare le metriche di latenza e non confondere il caso con productCatalogFailure.</t>
  </si>
  <si>
    <t xml:space="preserve">test_product_catalog_lock_contention_06</t>
  </si>
  <si>
    <t xml:space="preserve">product-catalog / oteldemo.ProductCatalogService/GetProduct: stato UNSET, durata 7096.7 ms.</t>
  </si>
  <si>
    <t xml:space="preserve">test_product_catalog_lock_contention_07</t>
  </si>
  <si>
    <t xml:space="preserve">baseline: 12/12 HTTP 200, mediana 8.0 ms; fault: 8/12 HTTP 200, mediana 7111.3 ms; recovery: 12/12 HTTP 200, mediana 8.8 ms frontend-proxy / GET: stato UNSET, durata 7109.4 ms.</t>
  </si>
  <si>
    <t xml:space="preserve">test_product_catalog_lock_contention_08</t>
  </si>
  <si>
    <t xml:space="preserve">Quali controlli confermano che productCatalogLockContention spiega il comportamento osservato?</t>
  </si>
  <si>
    <t xml:space="preserve">Flag productCatalogLockContention attivato nella finestra fault. product-catalog / oteldemo.ProductCatalogService/GetProduct: stato UNSET, durata 7096.7 ms.</t>
  </si>
  <si>
    <t xml:space="preserve">test_product_catalog_lock_contention_09</t>
  </si>
  <si>
    <t xml:space="preserve">baseline: 12/12 HTTP 200, mediana 8.0 ms; fault: 8/12 HTTP 200, mediana 7111.3 ms; recovery: 12/12 HTTP 200, mediana 8.8 ms Nessuno span della categoria selezionata nella traccia. frontend-proxy / GET: stato UNSET, durata 7109.4 ms.</t>
  </si>
  <si>
    <t xml:space="preserve">test_product_catalog_lock_contention_10</t>
  </si>
  <si>
    <t xml:space="preserve">Flag productCatalogLockContention attivato nella finestra fault. baseline: 12/12 HTTP 200, mediana 8.0 ms; fault: 8/12 HTTP 200, mediana 7111.3 ms; recovery: 12/12 HTTP 200, mediana 8.8 ms product-catalog / oteldemo.ProductCatalogService/GetProduct: stato UNSET, durata 7096.7 ms. baseline p95 14.4 ms; fault p95 15000.1 ms; recovery p95 21.4 ms Traccia normalizzata: 8 span, 0 in errore.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</si>
</sst>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222222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AF3F8"/>
        <bgColor rgb="FFE2F0D9"/>
      </patternFill>
    </fill>
    <fill>
      <patternFill patternType="solid">
        <fgColor rgb="FFE7E6E6"/>
        <bgColor rgb="FFE2F0D9"/>
      </patternFill>
    </fill>
    <fill>
      <patternFill patternType="solid">
        <fgColor rgb="FF1F4E78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4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3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3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4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b val="1"/>
        <color rgb="FF2F641C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F641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3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2:T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L49" activeCellId="0" sqref="L49:S5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6"/>
    <col collapsed="false" customWidth="true" hidden="false" outlineLevel="0" max="4" min="3" style="1" width="16"/>
    <col collapsed="false" customWidth="true" hidden="false" outlineLevel="0" max="5" min="5" style="1" width="36"/>
    <col collapsed="false" customWidth="true" hidden="false" outlineLevel="0" max="6" min="6" style="1" width="52"/>
    <col collapsed="false" customWidth="true" hidden="false" outlineLevel="0" max="7" min="7" style="1" width="58"/>
    <col collapsed="false" customWidth="true" hidden="false" outlineLevel="0" max="8" min="8" style="1" width="46"/>
    <col collapsed="false" customWidth="true" hidden="false" outlineLevel="0" max="9" min="9" style="1" width="62"/>
    <col collapsed="false" customWidth="true" hidden="false" outlineLevel="0" max="10" min="10" style="1" width="42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17"/>
    <col collapsed="false" customWidth="true" hidden="false" outlineLevel="0" max="14" min="14" style="1" width="19"/>
    <col collapsed="false" customWidth="true" hidden="false" outlineLevel="0" max="15" min="15" style="1" width="16"/>
    <col collapsed="false" customWidth="true" hidden="false" outlineLevel="0" max="17" min="16" style="1" width="20"/>
    <col collapsed="false" customWidth="true" hidden="false" outlineLevel="0" max="18" min="18" style="1" width="52"/>
    <col collapsed="false" customWidth="true" hidden="false" outlineLevel="0" max="19" min="19" style="1" width="42"/>
    <col collapsed="false" customWidth="true" hidden="false" outlineLevel="0" max="20" min="20" style="1" width="18"/>
  </cols>
  <sheetData>
    <row r="2" customFormat="false" ht="2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customFormat="false" ht="15" hidden="false" customHeight="false" outlineLevel="0" collapsed="false">
      <c r="A5" s="4" t="s">
        <v>1</v>
      </c>
      <c r="B5" s="5" t="s">
        <v>2</v>
      </c>
      <c r="C5" s="6" t="s">
        <v>3</v>
      </c>
      <c r="D5" s="7" t="s">
        <v>4</v>
      </c>
    </row>
    <row r="6" customFormat="false" ht="15" hidden="false" customHeight="false" outlineLevel="0" collapsed="false">
      <c r="A6" s="8" t="s">
        <v>5</v>
      </c>
      <c r="B6" s="9" t="n">
        <v>50</v>
      </c>
    </row>
    <row r="7" customFormat="false" ht="15" hidden="false" customHeight="false" outlineLevel="0" collapsed="false">
      <c r="A7" s="8" t="s">
        <v>6</v>
      </c>
      <c r="B7" s="9" t="n">
        <f aca="false">COUNTIF(T9:T58,"OK")</f>
        <v>40</v>
      </c>
    </row>
    <row r="8" customFormat="false" ht="34" hidden="false" customHeight="true" outlineLevel="0" collapsed="false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0" t="s">
        <v>20</v>
      </c>
      <c r="O8" s="10" t="s">
        <v>21</v>
      </c>
      <c r="P8" s="10" t="s">
        <v>22</v>
      </c>
      <c r="Q8" s="10" t="s">
        <v>23</v>
      </c>
      <c r="R8" s="10" t="s">
        <v>24</v>
      </c>
      <c r="S8" s="10" t="s">
        <v>25</v>
      </c>
      <c r="T8" s="10" t="s">
        <v>26</v>
      </c>
    </row>
    <row r="9" customFormat="false" ht="78" hidden="false" customHeight="true" outlineLevel="0" collapsed="false">
      <c r="A9" s="11" t="s">
        <v>27</v>
      </c>
      <c r="B9" s="11" t="s">
        <v>28</v>
      </c>
      <c r="C9" s="11" t="s">
        <v>29</v>
      </c>
      <c r="D9" s="11" t="s">
        <v>30</v>
      </c>
      <c r="E9" s="11" t="s">
        <v>31</v>
      </c>
      <c r="F9" s="11" t="s">
        <v>32</v>
      </c>
      <c r="G9" s="11" t="s">
        <v>33</v>
      </c>
      <c r="H9" s="11" t="s">
        <v>34</v>
      </c>
      <c r="I9" s="11" t="s">
        <v>35</v>
      </c>
      <c r="J9" s="11" t="s">
        <v>36</v>
      </c>
      <c r="K9" s="11" t="s">
        <v>37</v>
      </c>
      <c r="L9" s="12" t="s">
        <v>38</v>
      </c>
      <c r="M9" s="12" t="s">
        <v>39</v>
      </c>
      <c r="N9" s="12" t="s">
        <v>39</v>
      </c>
      <c r="O9" s="12" t="s">
        <v>39</v>
      </c>
      <c r="P9" s="12" t="s">
        <v>39</v>
      </c>
      <c r="Q9" s="12" t="s">
        <v>39</v>
      </c>
      <c r="R9" s="12"/>
      <c r="S9" s="12" t="s">
        <v>40</v>
      </c>
      <c r="T9" s="13" t="str">
        <f aca="false">IF(AND(L9&lt;&gt;"",M9&lt;&gt;"",N9&lt;&gt;"",O9&lt;&gt;"",P9&lt;&gt;"",Q9&lt;&gt;"",OR(L9&lt;&gt;"CORREGGERE",R9&lt;&gt;"")),"OK","DA COMPLETARE")</f>
        <v>OK</v>
      </c>
    </row>
    <row r="10" customFormat="false" ht="78" hidden="false" customHeight="true" outlineLevel="0" collapsed="false">
      <c r="A10" s="14" t="s">
        <v>41</v>
      </c>
      <c r="B10" s="14" t="s">
        <v>28</v>
      </c>
      <c r="C10" s="14" t="s">
        <v>42</v>
      </c>
      <c r="D10" s="14" t="s">
        <v>43</v>
      </c>
      <c r="E10" s="14" t="s">
        <v>31</v>
      </c>
      <c r="F10" s="14" t="s">
        <v>44</v>
      </c>
      <c r="G10" s="14" t="s">
        <v>45</v>
      </c>
      <c r="H10" s="14" t="s">
        <v>34</v>
      </c>
      <c r="I10" s="14" t="s">
        <v>35</v>
      </c>
      <c r="J10" s="14" t="s">
        <v>36</v>
      </c>
      <c r="K10" s="14" t="s">
        <v>37</v>
      </c>
      <c r="L10" s="15" t="s">
        <v>38</v>
      </c>
      <c r="M10" s="15" t="s">
        <v>39</v>
      </c>
      <c r="N10" s="15" t="s">
        <v>39</v>
      </c>
      <c r="O10" s="15" t="s">
        <v>39</v>
      </c>
      <c r="P10" s="15" t="s">
        <v>39</v>
      </c>
      <c r="Q10" s="15" t="s">
        <v>39</v>
      </c>
      <c r="R10" s="15"/>
      <c r="S10" s="15" t="s">
        <v>40</v>
      </c>
      <c r="T10" s="16" t="str">
        <f aca="false">IF(AND(L10&lt;&gt;"",M10&lt;&gt;"",N10&lt;&gt;"",O10&lt;&gt;"",P10&lt;&gt;"",Q10&lt;&gt;"",OR(L10&lt;&gt;"CORREGGERE",R10&lt;&gt;"")),"OK","DA COMPLETARE")</f>
        <v>OK</v>
      </c>
    </row>
    <row r="11" customFormat="false" ht="78" hidden="false" customHeight="true" outlineLevel="0" collapsed="false">
      <c r="A11" s="14" t="s">
        <v>46</v>
      </c>
      <c r="B11" s="14" t="s">
        <v>28</v>
      </c>
      <c r="C11" s="14" t="s">
        <v>42</v>
      </c>
      <c r="D11" s="14" t="s">
        <v>43</v>
      </c>
      <c r="E11" s="14" t="s">
        <v>31</v>
      </c>
      <c r="F11" s="14" t="s">
        <v>47</v>
      </c>
      <c r="G11" s="14" t="s">
        <v>48</v>
      </c>
      <c r="H11" s="14" t="s">
        <v>34</v>
      </c>
      <c r="I11" s="14" t="s">
        <v>35</v>
      </c>
      <c r="J11" s="14" t="s">
        <v>36</v>
      </c>
      <c r="K11" s="14" t="s">
        <v>37</v>
      </c>
      <c r="L11" s="15" t="s">
        <v>38</v>
      </c>
      <c r="M11" s="15" t="s">
        <v>39</v>
      </c>
      <c r="N11" s="15" t="s">
        <v>39</v>
      </c>
      <c r="O11" s="15" t="s">
        <v>39</v>
      </c>
      <c r="P11" s="15" t="s">
        <v>39</v>
      </c>
      <c r="Q11" s="15" t="s">
        <v>39</v>
      </c>
      <c r="R11" s="15"/>
      <c r="S11" s="15" t="s">
        <v>40</v>
      </c>
      <c r="T11" s="16" t="str">
        <f aca="false">IF(AND(L11&lt;&gt;"",M11&lt;&gt;"",N11&lt;&gt;"",O11&lt;&gt;"",P11&lt;&gt;"",Q11&lt;&gt;"",OR(L11&lt;&gt;"CORREGGERE",R11&lt;&gt;"")),"OK","DA COMPLETARE")</f>
        <v>OK</v>
      </c>
    </row>
    <row r="12" customFormat="false" ht="78" hidden="false" customHeight="true" outlineLevel="0" collapsed="false">
      <c r="A12" s="14" t="s">
        <v>49</v>
      </c>
      <c r="B12" s="14" t="s">
        <v>28</v>
      </c>
      <c r="C12" s="14" t="s">
        <v>50</v>
      </c>
      <c r="D12" s="14" t="s">
        <v>51</v>
      </c>
      <c r="E12" s="14" t="s">
        <v>31</v>
      </c>
      <c r="F12" s="14" t="s">
        <v>52</v>
      </c>
      <c r="G12" s="14" t="s">
        <v>53</v>
      </c>
      <c r="H12" s="14" t="s">
        <v>34</v>
      </c>
      <c r="I12" s="14" t="s">
        <v>35</v>
      </c>
      <c r="J12" s="14" t="s">
        <v>36</v>
      </c>
      <c r="K12" s="14" t="s">
        <v>37</v>
      </c>
      <c r="L12" s="15" t="s">
        <v>38</v>
      </c>
      <c r="M12" s="15" t="s">
        <v>39</v>
      </c>
      <c r="N12" s="15" t="s">
        <v>39</v>
      </c>
      <c r="O12" s="15" t="s">
        <v>39</v>
      </c>
      <c r="P12" s="15" t="s">
        <v>39</v>
      </c>
      <c r="Q12" s="15" t="s">
        <v>39</v>
      </c>
      <c r="R12" s="15"/>
      <c r="S12" s="15" t="s">
        <v>40</v>
      </c>
      <c r="T12" s="16" t="str">
        <f aca="false">IF(AND(L12&lt;&gt;"",M12&lt;&gt;"",N12&lt;&gt;"",O12&lt;&gt;"",P12&lt;&gt;"",Q12&lt;&gt;"",OR(L12&lt;&gt;"CORREGGERE",R12&lt;&gt;"")),"OK","DA COMPLETARE")</f>
        <v>OK</v>
      </c>
    </row>
    <row r="13" customFormat="false" ht="78" hidden="false" customHeight="true" outlineLevel="0" collapsed="false">
      <c r="A13" s="14" t="s">
        <v>54</v>
      </c>
      <c r="B13" s="14" t="s">
        <v>28</v>
      </c>
      <c r="C13" s="14" t="s">
        <v>50</v>
      </c>
      <c r="D13" s="14" t="s">
        <v>43</v>
      </c>
      <c r="E13" s="14" t="s">
        <v>31</v>
      </c>
      <c r="F13" s="14" t="s">
        <v>55</v>
      </c>
      <c r="G13" s="14" t="s">
        <v>56</v>
      </c>
      <c r="H13" s="14" t="s">
        <v>34</v>
      </c>
      <c r="I13" s="14" t="s">
        <v>57</v>
      </c>
      <c r="J13" s="14" t="s">
        <v>36</v>
      </c>
      <c r="K13" s="14" t="s">
        <v>37</v>
      </c>
      <c r="L13" s="15" t="s">
        <v>38</v>
      </c>
      <c r="M13" s="15" t="s">
        <v>39</v>
      </c>
      <c r="N13" s="15" t="s">
        <v>39</v>
      </c>
      <c r="O13" s="15" t="s">
        <v>39</v>
      </c>
      <c r="P13" s="15" t="s">
        <v>39</v>
      </c>
      <c r="Q13" s="15" t="s">
        <v>39</v>
      </c>
      <c r="R13" s="15"/>
      <c r="S13" s="15" t="s">
        <v>40</v>
      </c>
      <c r="T13" s="16" t="str">
        <f aca="false">IF(AND(L13&lt;&gt;"",M13&lt;&gt;"",N13&lt;&gt;"",O13&lt;&gt;"",P13&lt;&gt;"",Q13&lt;&gt;"",OR(L13&lt;&gt;"CORREGGERE",R13&lt;&gt;"")),"OK","DA COMPLETARE")</f>
        <v>OK</v>
      </c>
    </row>
    <row r="14" customFormat="false" ht="78" hidden="false" customHeight="true" outlineLevel="0" collapsed="false">
      <c r="A14" s="14" t="s">
        <v>58</v>
      </c>
      <c r="B14" s="14" t="s">
        <v>28</v>
      </c>
      <c r="C14" s="14" t="s">
        <v>50</v>
      </c>
      <c r="D14" s="14" t="s">
        <v>51</v>
      </c>
      <c r="E14" s="14" t="s">
        <v>31</v>
      </c>
      <c r="F14" s="14" t="s">
        <v>59</v>
      </c>
      <c r="G14" s="14" t="s">
        <v>60</v>
      </c>
      <c r="H14" s="14" t="s">
        <v>34</v>
      </c>
      <c r="I14" s="14" t="s">
        <v>35</v>
      </c>
      <c r="J14" s="14" t="s">
        <v>36</v>
      </c>
      <c r="K14" s="14" t="s">
        <v>37</v>
      </c>
      <c r="L14" s="15" t="s">
        <v>38</v>
      </c>
      <c r="M14" s="15" t="s">
        <v>39</v>
      </c>
      <c r="N14" s="15" t="s">
        <v>39</v>
      </c>
      <c r="O14" s="15" t="s">
        <v>39</v>
      </c>
      <c r="P14" s="15" t="s">
        <v>39</v>
      </c>
      <c r="Q14" s="15" t="s">
        <v>39</v>
      </c>
      <c r="R14" s="15"/>
      <c r="S14" s="15" t="s">
        <v>40</v>
      </c>
      <c r="T14" s="16" t="str">
        <f aca="false">IF(AND(L14&lt;&gt;"",M14&lt;&gt;"",N14&lt;&gt;"",O14&lt;&gt;"",P14&lt;&gt;"",Q14&lt;&gt;"",OR(L14&lt;&gt;"CORREGGERE",R14&lt;&gt;"")),"OK","DA COMPLETARE")</f>
        <v>OK</v>
      </c>
    </row>
    <row r="15" customFormat="false" ht="78" hidden="false" customHeight="true" outlineLevel="0" collapsed="false">
      <c r="A15" s="14" t="s">
        <v>61</v>
      </c>
      <c r="B15" s="14" t="s">
        <v>28</v>
      </c>
      <c r="C15" s="14" t="s">
        <v>42</v>
      </c>
      <c r="D15" s="14" t="s">
        <v>43</v>
      </c>
      <c r="E15" s="14" t="s">
        <v>31</v>
      </c>
      <c r="F15" s="14" t="s">
        <v>62</v>
      </c>
      <c r="G15" s="14" t="s">
        <v>63</v>
      </c>
      <c r="H15" s="14" t="s">
        <v>34</v>
      </c>
      <c r="I15" s="14" t="s">
        <v>35</v>
      </c>
      <c r="J15" s="14" t="s">
        <v>36</v>
      </c>
      <c r="K15" s="14" t="s">
        <v>37</v>
      </c>
      <c r="L15" s="15" t="s">
        <v>38</v>
      </c>
      <c r="M15" s="15" t="s">
        <v>39</v>
      </c>
      <c r="N15" s="15" t="s">
        <v>39</v>
      </c>
      <c r="O15" s="15" t="s">
        <v>39</v>
      </c>
      <c r="P15" s="15" t="s">
        <v>39</v>
      </c>
      <c r="Q15" s="15" t="s">
        <v>39</v>
      </c>
      <c r="R15" s="15"/>
      <c r="S15" s="15" t="s">
        <v>40</v>
      </c>
      <c r="T15" s="16" t="str">
        <f aca="false">IF(AND(L15&lt;&gt;"",M15&lt;&gt;"",N15&lt;&gt;"",O15&lt;&gt;"",P15&lt;&gt;"",Q15&lt;&gt;"",OR(L15&lt;&gt;"CORREGGERE",R15&lt;&gt;"")),"OK","DA COMPLETARE")</f>
        <v>OK</v>
      </c>
    </row>
    <row r="16" customFormat="false" ht="78" hidden="false" customHeight="true" outlineLevel="0" collapsed="false">
      <c r="A16" s="14" t="s">
        <v>64</v>
      </c>
      <c r="B16" s="14" t="s">
        <v>28</v>
      </c>
      <c r="C16" s="14" t="s">
        <v>29</v>
      </c>
      <c r="D16" s="14" t="s">
        <v>51</v>
      </c>
      <c r="E16" s="14" t="s">
        <v>31</v>
      </c>
      <c r="F16" s="14" t="s">
        <v>65</v>
      </c>
      <c r="G16" s="14" t="s">
        <v>66</v>
      </c>
      <c r="H16" s="14" t="s">
        <v>34</v>
      </c>
      <c r="I16" s="14" t="s">
        <v>35</v>
      </c>
      <c r="J16" s="14" t="s">
        <v>36</v>
      </c>
      <c r="K16" s="14" t="s">
        <v>37</v>
      </c>
      <c r="L16" s="15" t="s">
        <v>38</v>
      </c>
      <c r="M16" s="15" t="s">
        <v>39</v>
      </c>
      <c r="N16" s="15" t="s">
        <v>39</v>
      </c>
      <c r="O16" s="15" t="s">
        <v>39</v>
      </c>
      <c r="P16" s="15" t="s">
        <v>39</v>
      </c>
      <c r="Q16" s="15" t="s">
        <v>39</v>
      </c>
      <c r="R16" s="15"/>
      <c r="S16" s="15" t="s">
        <v>40</v>
      </c>
      <c r="T16" s="16" t="str">
        <f aca="false">IF(AND(L16&lt;&gt;"",M16&lt;&gt;"",N16&lt;&gt;"",O16&lt;&gt;"",P16&lt;&gt;"",Q16&lt;&gt;"",OR(L16&lt;&gt;"CORREGGERE",R16&lt;&gt;"")),"OK","DA COMPLETARE")</f>
        <v>OK</v>
      </c>
    </row>
    <row r="17" customFormat="false" ht="78" hidden="false" customHeight="true" outlineLevel="0" collapsed="false">
      <c r="A17" s="14" t="s">
        <v>67</v>
      </c>
      <c r="B17" s="14" t="s">
        <v>28</v>
      </c>
      <c r="C17" s="14" t="s">
        <v>42</v>
      </c>
      <c r="D17" s="14" t="s">
        <v>43</v>
      </c>
      <c r="E17" s="14" t="s">
        <v>31</v>
      </c>
      <c r="F17" s="14" t="s">
        <v>68</v>
      </c>
      <c r="G17" s="14" t="s">
        <v>69</v>
      </c>
      <c r="H17" s="14" t="s">
        <v>34</v>
      </c>
      <c r="I17" s="14" t="s">
        <v>35</v>
      </c>
      <c r="J17" s="14" t="s">
        <v>36</v>
      </c>
      <c r="K17" s="14" t="s">
        <v>37</v>
      </c>
      <c r="L17" s="15" t="s">
        <v>38</v>
      </c>
      <c r="M17" s="15" t="s">
        <v>39</v>
      </c>
      <c r="N17" s="15" t="s">
        <v>39</v>
      </c>
      <c r="O17" s="15" t="s">
        <v>39</v>
      </c>
      <c r="P17" s="15" t="s">
        <v>39</v>
      </c>
      <c r="Q17" s="15" t="s">
        <v>39</v>
      </c>
      <c r="R17" s="15"/>
      <c r="S17" s="15" t="s">
        <v>40</v>
      </c>
      <c r="T17" s="16" t="str">
        <f aca="false">IF(AND(L17&lt;&gt;"",M17&lt;&gt;"",N17&lt;&gt;"",O17&lt;&gt;"",P17&lt;&gt;"",Q17&lt;&gt;"",OR(L17&lt;&gt;"CORREGGERE",R17&lt;&gt;"")),"OK","DA COMPLETARE")</f>
        <v>OK</v>
      </c>
    </row>
    <row r="18" customFormat="false" ht="78" hidden="false" customHeight="true" outlineLevel="0" collapsed="false">
      <c r="A18" s="14" t="s">
        <v>70</v>
      </c>
      <c r="B18" s="14" t="s">
        <v>28</v>
      </c>
      <c r="C18" s="14" t="s">
        <v>42</v>
      </c>
      <c r="D18" s="14" t="s">
        <v>43</v>
      </c>
      <c r="E18" s="14" t="s">
        <v>31</v>
      </c>
      <c r="F18" s="14" t="s">
        <v>71</v>
      </c>
      <c r="G18" s="14" t="s">
        <v>72</v>
      </c>
      <c r="H18" s="14" t="s">
        <v>34</v>
      </c>
      <c r="I18" s="14" t="s">
        <v>35</v>
      </c>
      <c r="J18" s="14" t="s">
        <v>36</v>
      </c>
      <c r="K18" s="14" t="s">
        <v>37</v>
      </c>
      <c r="L18" s="15" t="s">
        <v>38</v>
      </c>
      <c r="M18" s="15" t="s">
        <v>39</v>
      </c>
      <c r="N18" s="15" t="s">
        <v>39</v>
      </c>
      <c r="O18" s="15" t="s">
        <v>39</v>
      </c>
      <c r="P18" s="15" t="s">
        <v>39</v>
      </c>
      <c r="Q18" s="15" t="s">
        <v>39</v>
      </c>
      <c r="R18" s="15"/>
      <c r="S18" s="15" t="s">
        <v>40</v>
      </c>
      <c r="T18" s="16" t="str">
        <f aca="false">IF(AND(L18&lt;&gt;"",M18&lt;&gt;"",N18&lt;&gt;"",O18&lt;&gt;"",P18&lt;&gt;"",Q18&lt;&gt;"",OR(L18&lt;&gt;"CORREGGERE",R18&lt;&gt;"")),"OK","DA COMPLETARE")</f>
        <v>OK</v>
      </c>
    </row>
    <row r="19" customFormat="false" ht="78" hidden="false" customHeight="true" outlineLevel="0" collapsed="false">
      <c r="A19" s="14" t="s">
        <v>73</v>
      </c>
      <c r="B19" s="14" t="s">
        <v>74</v>
      </c>
      <c r="C19" s="14" t="s">
        <v>29</v>
      </c>
      <c r="D19" s="14" t="s">
        <v>30</v>
      </c>
      <c r="E19" s="14" t="s">
        <v>75</v>
      </c>
      <c r="F19" s="14" t="s">
        <v>76</v>
      </c>
      <c r="G19" s="14" t="s">
        <v>77</v>
      </c>
      <c r="H19" s="14" t="s">
        <v>78</v>
      </c>
      <c r="I19" s="14" t="s">
        <v>79</v>
      </c>
      <c r="J19" s="14" t="s">
        <v>80</v>
      </c>
      <c r="K19" s="14" t="s">
        <v>81</v>
      </c>
      <c r="L19" s="15" t="s">
        <v>38</v>
      </c>
      <c r="M19" s="15" t="s">
        <v>39</v>
      </c>
      <c r="N19" s="15" t="s">
        <v>39</v>
      </c>
      <c r="O19" s="15" t="s">
        <v>39</v>
      </c>
      <c r="P19" s="15" t="s">
        <v>39</v>
      </c>
      <c r="Q19" s="15" t="s">
        <v>39</v>
      </c>
      <c r="R19" s="15"/>
      <c r="S19" s="15" t="s">
        <v>40</v>
      </c>
      <c r="T19" s="16" t="str">
        <f aca="false">IF(AND(L19&lt;&gt;"",M19&lt;&gt;"",N19&lt;&gt;"",O19&lt;&gt;"",P19&lt;&gt;"",Q19&lt;&gt;"",OR(L19&lt;&gt;"CORREGGERE",R19&lt;&gt;"")),"OK","DA COMPLETARE")</f>
        <v>OK</v>
      </c>
    </row>
    <row r="20" customFormat="false" ht="78" hidden="false" customHeight="true" outlineLevel="0" collapsed="false">
      <c r="A20" s="14" t="s">
        <v>82</v>
      </c>
      <c r="B20" s="14" t="s">
        <v>74</v>
      </c>
      <c r="C20" s="14" t="s">
        <v>42</v>
      </c>
      <c r="D20" s="14" t="s">
        <v>43</v>
      </c>
      <c r="E20" s="14" t="s">
        <v>75</v>
      </c>
      <c r="F20" s="14" t="s">
        <v>83</v>
      </c>
      <c r="G20" s="14" t="s">
        <v>84</v>
      </c>
      <c r="H20" s="14" t="s">
        <v>78</v>
      </c>
      <c r="I20" s="14" t="s">
        <v>79</v>
      </c>
      <c r="J20" s="14" t="s">
        <v>80</v>
      </c>
      <c r="K20" s="14" t="s">
        <v>81</v>
      </c>
      <c r="L20" s="15" t="s">
        <v>38</v>
      </c>
      <c r="M20" s="15" t="s">
        <v>39</v>
      </c>
      <c r="N20" s="15" t="s">
        <v>39</v>
      </c>
      <c r="O20" s="15" t="s">
        <v>39</v>
      </c>
      <c r="P20" s="15" t="s">
        <v>39</v>
      </c>
      <c r="Q20" s="15" t="s">
        <v>39</v>
      </c>
      <c r="R20" s="15"/>
      <c r="S20" s="15" t="s">
        <v>40</v>
      </c>
      <c r="T20" s="16" t="str">
        <f aca="false">IF(AND(L20&lt;&gt;"",M20&lt;&gt;"",N20&lt;&gt;"",O20&lt;&gt;"",P20&lt;&gt;"",Q20&lt;&gt;"",OR(L20&lt;&gt;"CORREGGERE",R20&lt;&gt;"")),"OK","DA COMPLETARE")</f>
        <v>OK</v>
      </c>
    </row>
    <row r="21" customFormat="false" ht="78" hidden="false" customHeight="true" outlineLevel="0" collapsed="false">
      <c r="A21" s="14" t="s">
        <v>85</v>
      </c>
      <c r="B21" s="14" t="s">
        <v>74</v>
      </c>
      <c r="C21" s="14" t="s">
        <v>42</v>
      </c>
      <c r="D21" s="14" t="s">
        <v>43</v>
      </c>
      <c r="E21" s="14" t="s">
        <v>75</v>
      </c>
      <c r="F21" s="14" t="s">
        <v>47</v>
      </c>
      <c r="G21" s="14" t="s">
        <v>86</v>
      </c>
      <c r="H21" s="14" t="s">
        <v>78</v>
      </c>
      <c r="I21" s="14" t="s">
        <v>79</v>
      </c>
      <c r="J21" s="14" t="s">
        <v>80</v>
      </c>
      <c r="K21" s="14" t="s">
        <v>81</v>
      </c>
      <c r="L21" s="15" t="s">
        <v>38</v>
      </c>
      <c r="M21" s="15" t="s">
        <v>39</v>
      </c>
      <c r="N21" s="15" t="s">
        <v>39</v>
      </c>
      <c r="O21" s="15" t="s">
        <v>39</v>
      </c>
      <c r="P21" s="15" t="s">
        <v>39</v>
      </c>
      <c r="Q21" s="15" t="s">
        <v>39</v>
      </c>
      <c r="R21" s="15"/>
      <c r="S21" s="15" t="s">
        <v>40</v>
      </c>
      <c r="T21" s="16" t="str">
        <f aca="false">IF(AND(L21&lt;&gt;"",M21&lt;&gt;"",N21&lt;&gt;"",O21&lt;&gt;"",P21&lt;&gt;"",Q21&lt;&gt;"",OR(L21&lt;&gt;"CORREGGERE",R21&lt;&gt;"")),"OK","DA COMPLETARE")</f>
        <v>OK</v>
      </c>
    </row>
    <row r="22" customFormat="false" ht="78" hidden="false" customHeight="true" outlineLevel="0" collapsed="false">
      <c r="A22" s="14" t="s">
        <v>87</v>
      </c>
      <c r="B22" s="14" t="s">
        <v>74</v>
      </c>
      <c r="C22" s="14" t="s">
        <v>50</v>
      </c>
      <c r="D22" s="14" t="s">
        <v>51</v>
      </c>
      <c r="E22" s="14" t="s">
        <v>75</v>
      </c>
      <c r="F22" s="14" t="s">
        <v>52</v>
      </c>
      <c r="G22" s="14" t="s">
        <v>88</v>
      </c>
      <c r="H22" s="14" t="s">
        <v>78</v>
      </c>
      <c r="I22" s="14" t="s">
        <v>79</v>
      </c>
      <c r="J22" s="14" t="s">
        <v>80</v>
      </c>
      <c r="K22" s="14" t="s">
        <v>81</v>
      </c>
      <c r="L22" s="15" t="s">
        <v>38</v>
      </c>
      <c r="M22" s="15" t="s">
        <v>39</v>
      </c>
      <c r="N22" s="15" t="s">
        <v>39</v>
      </c>
      <c r="O22" s="15" t="s">
        <v>39</v>
      </c>
      <c r="P22" s="15" t="s">
        <v>39</v>
      </c>
      <c r="Q22" s="15" t="s">
        <v>39</v>
      </c>
      <c r="R22" s="15"/>
      <c r="S22" s="15" t="s">
        <v>40</v>
      </c>
      <c r="T22" s="16" t="str">
        <f aca="false">IF(AND(L22&lt;&gt;"",M22&lt;&gt;"",N22&lt;&gt;"",O22&lt;&gt;"",P22&lt;&gt;"",Q22&lt;&gt;"",OR(L22&lt;&gt;"CORREGGERE",R22&lt;&gt;"")),"OK","DA COMPLETARE")</f>
        <v>OK</v>
      </c>
    </row>
    <row r="23" customFormat="false" ht="78" hidden="false" customHeight="true" outlineLevel="0" collapsed="false">
      <c r="A23" s="14" t="s">
        <v>89</v>
      </c>
      <c r="B23" s="14" t="s">
        <v>74</v>
      </c>
      <c r="C23" s="14" t="s">
        <v>50</v>
      </c>
      <c r="D23" s="14" t="s">
        <v>43</v>
      </c>
      <c r="E23" s="14" t="s">
        <v>75</v>
      </c>
      <c r="F23" s="14" t="s">
        <v>55</v>
      </c>
      <c r="G23" s="14" t="s">
        <v>90</v>
      </c>
      <c r="H23" s="14" t="s">
        <v>78</v>
      </c>
      <c r="I23" s="14" t="s">
        <v>91</v>
      </c>
      <c r="J23" s="14" t="s">
        <v>80</v>
      </c>
      <c r="K23" s="14" t="s">
        <v>81</v>
      </c>
      <c r="L23" s="15" t="s">
        <v>38</v>
      </c>
      <c r="M23" s="15" t="s">
        <v>39</v>
      </c>
      <c r="N23" s="15" t="s">
        <v>39</v>
      </c>
      <c r="O23" s="15" t="s">
        <v>39</v>
      </c>
      <c r="P23" s="15" t="s">
        <v>39</v>
      </c>
      <c r="Q23" s="15" t="s">
        <v>39</v>
      </c>
      <c r="R23" s="15"/>
      <c r="S23" s="15" t="s">
        <v>40</v>
      </c>
      <c r="T23" s="16" t="str">
        <f aca="false">IF(AND(L23&lt;&gt;"",M23&lt;&gt;"",N23&lt;&gt;"",O23&lt;&gt;"",P23&lt;&gt;"",Q23&lt;&gt;"",OR(L23&lt;&gt;"CORREGGERE",R23&lt;&gt;"")),"OK","DA COMPLETARE")</f>
        <v>OK</v>
      </c>
    </row>
    <row r="24" customFormat="false" ht="78" hidden="false" customHeight="true" outlineLevel="0" collapsed="false">
      <c r="A24" s="14" t="s">
        <v>92</v>
      </c>
      <c r="B24" s="14" t="s">
        <v>74</v>
      </c>
      <c r="C24" s="14" t="s">
        <v>50</v>
      </c>
      <c r="D24" s="14" t="s">
        <v>51</v>
      </c>
      <c r="E24" s="14" t="s">
        <v>75</v>
      </c>
      <c r="F24" s="14" t="s">
        <v>59</v>
      </c>
      <c r="G24" s="14" t="s">
        <v>93</v>
      </c>
      <c r="H24" s="14" t="s">
        <v>78</v>
      </c>
      <c r="I24" s="14" t="s">
        <v>79</v>
      </c>
      <c r="J24" s="14" t="s">
        <v>80</v>
      </c>
      <c r="K24" s="14" t="s">
        <v>81</v>
      </c>
      <c r="L24" s="15" t="s">
        <v>38</v>
      </c>
      <c r="M24" s="15" t="s">
        <v>39</v>
      </c>
      <c r="N24" s="15" t="s">
        <v>39</v>
      </c>
      <c r="O24" s="15" t="s">
        <v>39</v>
      </c>
      <c r="P24" s="15" t="s">
        <v>39</v>
      </c>
      <c r="Q24" s="15" t="s">
        <v>39</v>
      </c>
      <c r="R24" s="15"/>
      <c r="S24" s="15" t="s">
        <v>40</v>
      </c>
      <c r="T24" s="16" t="str">
        <f aca="false">IF(AND(L24&lt;&gt;"",M24&lt;&gt;"",N24&lt;&gt;"",O24&lt;&gt;"",P24&lt;&gt;"",Q24&lt;&gt;"",OR(L24&lt;&gt;"CORREGGERE",R24&lt;&gt;"")),"OK","DA COMPLETARE")</f>
        <v>OK</v>
      </c>
    </row>
    <row r="25" customFormat="false" ht="78" hidden="false" customHeight="true" outlineLevel="0" collapsed="false">
      <c r="A25" s="14" t="s">
        <v>94</v>
      </c>
      <c r="B25" s="14" t="s">
        <v>74</v>
      </c>
      <c r="C25" s="14" t="s">
        <v>42</v>
      </c>
      <c r="D25" s="14" t="s">
        <v>43</v>
      </c>
      <c r="E25" s="14" t="s">
        <v>75</v>
      </c>
      <c r="F25" s="14" t="s">
        <v>62</v>
      </c>
      <c r="G25" s="14" t="s">
        <v>95</v>
      </c>
      <c r="H25" s="14" t="s">
        <v>78</v>
      </c>
      <c r="I25" s="14" t="s">
        <v>79</v>
      </c>
      <c r="J25" s="14" t="s">
        <v>80</v>
      </c>
      <c r="K25" s="14" t="s">
        <v>81</v>
      </c>
      <c r="L25" s="15" t="s">
        <v>38</v>
      </c>
      <c r="M25" s="15" t="s">
        <v>39</v>
      </c>
      <c r="N25" s="15" t="s">
        <v>39</v>
      </c>
      <c r="O25" s="15" t="s">
        <v>39</v>
      </c>
      <c r="P25" s="15" t="s">
        <v>39</v>
      </c>
      <c r="Q25" s="15" t="s">
        <v>39</v>
      </c>
      <c r="R25" s="15"/>
      <c r="S25" s="15" t="s">
        <v>40</v>
      </c>
      <c r="T25" s="16" t="str">
        <f aca="false">IF(AND(L25&lt;&gt;"",M25&lt;&gt;"",N25&lt;&gt;"",O25&lt;&gt;"",P25&lt;&gt;"",Q25&lt;&gt;"",OR(L25&lt;&gt;"CORREGGERE",R25&lt;&gt;"")),"OK","DA COMPLETARE")</f>
        <v>OK</v>
      </c>
    </row>
    <row r="26" customFormat="false" ht="78" hidden="false" customHeight="true" outlineLevel="0" collapsed="false">
      <c r="A26" s="14" t="s">
        <v>96</v>
      </c>
      <c r="B26" s="14" t="s">
        <v>74</v>
      </c>
      <c r="C26" s="14" t="s">
        <v>29</v>
      </c>
      <c r="D26" s="14" t="s">
        <v>51</v>
      </c>
      <c r="E26" s="14" t="s">
        <v>75</v>
      </c>
      <c r="F26" s="14" t="s">
        <v>97</v>
      </c>
      <c r="G26" s="14" t="s">
        <v>98</v>
      </c>
      <c r="H26" s="14" t="s">
        <v>78</v>
      </c>
      <c r="I26" s="14" t="s">
        <v>79</v>
      </c>
      <c r="J26" s="14" t="s">
        <v>80</v>
      </c>
      <c r="K26" s="14" t="s">
        <v>81</v>
      </c>
      <c r="L26" s="15" t="s">
        <v>38</v>
      </c>
      <c r="M26" s="15" t="s">
        <v>39</v>
      </c>
      <c r="N26" s="15" t="s">
        <v>39</v>
      </c>
      <c r="O26" s="15" t="s">
        <v>39</v>
      </c>
      <c r="P26" s="15" t="s">
        <v>39</v>
      </c>
      <c r="Q26" s="15" t="s">
        <v>39</v>
      </c>
      <c r="R26" s="15"/>
      <c r="S26" s="15" t="s">
        <v>40</v>
      </c>
      <c r="T26" s="16" t="str">
        <f aca="false">IF(AND(L26&lt;&gt;"",M26&lt;&gt;"",N26&lt;&gt;"",O26&lt;&gt;"",P26&lt;&gt;"",Q26&lt;&gt;"",OR(L26&lt;&gt;"CORREGGERE",R26&lt;&gt;"")),"OK","DA COMPLETARE")</f>
        <v>OK</v>
      </c>
    </row>
    <row r="27" customFormat="false" ht="78" hidden="false" customHeight="true" outlineLevel="0" collapsed="false">
      <c r="A27" s="14" t="s">
        <v>99</v>
      </c>
      <c r="B27" s="14" t="s">
        <v>74</v>
      </c>
      <c r="C27" s="14" t="s">
        <v>42</v>
      </c>
      <c r="D27" s="14" t="s">
        <v>43</v>
      </c>
      <c r="E27" s="14" t="s">
        <v>75</v>
      </c>
      <c r="F27" s="14" t="s">
        <v>68</v>
      </c>
      <c r="G27" s="14" t="s">
        <v>100</v>
      </c>
      <c r="H27" s="14" t="s">
        <v>78</v>
      </c>
      <c r="I27" s="14" t="s">
        <v>79</v>
      </c>
      <c r="J27" s="14" t="s">
        <v>80</v>
      </c>
      <c r="K27" s="14" t="s">
        <v>81</v>
      </c>
      <c r="L27" s="15" t="s">
        <v>38</v>
      </c>
      <c r="M27" s="15" t="s">
        <v>39</v>
      </c>
      <c r="N27" s="15" t="s">
        <v>39</v>
      </c>
      <c r="O27" s="15" t="s">
        <v>39</v>
      </c>
      <c r="P27" s="15" t="s">
        <v>39</v>
      </c>
      <c r="Q27" s="15" t="s">
        <v>39</v>
      </c>
      <c r="R27" s="15"/>
      <c r="S27" s="15" t="s">
        <v>40</v>
      </c>
      <c r="T27" s="16" t="str">
        <f aca="false">IF(AND(L27&lt;&gt;"",M27&lt;&gt;"",N27&lt;&gt;"",O27&lt;&gt;"",P27&lt;&gt;"",Q27&lt;&gt;"",OR(L27&lt;&gt;"CORREGGERE",R27&lt;&gt;"")),"OK","DA COMPLETARE")</f>
        <v>OK</v>
      </c>
    </row>
    <row r="28" customFormat="false" ht="78" hidden="false" customHeight="true" outlineLevel="0" collapsed="false">
      <c r="A28" s="14" t="s">
        <v>101</v>
      </c>
      <c r="B28" s="14" t="s">
        <v>74</v>
      </c>
      <c r="C28" s="14" t="s">
        <v>42</v>
      </c>
      <c r="D28" s="14" t="s">
        <v>43</v>
      </c>
      <c r="E28" s="14" t="s">
        <v>75</v>
      </c>
      <c r="F28" s="14" t="s">
        <v>71</v>
      </c>
      <c r="G28" s="14" t="s">
        <v>102</v>
      </c>
      <c r="H28" s="14" t="s">
        <v>78</v>
      </c>
      <c r="I28" s="14" t="s">
        <v>79</v>
      </c>
      <c r="J28" s="14" t="s">
        <v>80</v>
      </c>
      <c r="K28" s="14" t="s">
        <v>81</v>
      </c>
      <c r="L28" s="15" t="s">
        <v>38</v>
      </c>
      <c r="M28" s="15" t="s">
        <v>39</v>
      </c>
      <c r="N28" s="15" t="s">
        <v>39</v>
      </c>
      <c r="O28" s="15" t="s">
        <v>39</v>
      </c>
      <c r="P28" s="15" t="s">
        <v>39</v>
      </c>
      <c r="Q28" s="15" t="s">
        <v>39</v>
      </c>
      <c r="R28" s="15"/>
      <c r="S28" s="15" t="s">
        <v>40</v>
      </c>
      <c r="T28" s="16" t="str">
        <f aca="false">IF(AND(L28&lt;&gt;"",M28&lt;&gt;"",N28&lt;&gt;"",O28&lt;&gt;"",P28&lt;&gt;"",Q28&lt;&gt;"",OR(L28&lt;&gt;"CORREGGERE",R28&lt;&gt;"")),"OK","DA COMPLETARE")</f>
        <v>OK</v>
      </c>
    </row>
    <row r="29" customFormat="false" ht="78" hidden="false" customHeight="true" outlineLevel="0" collapsed="false">
      <c r="A29" s="14" t="s">
        <v>103</v>
      </c>
      <c r="B29" s="14" t="s">
        <v>104</v>
      </c>
      <c r="C29" s="14" t="s">
        <v>29</v>
      </c>
      <c r="D29" s="14" t="s">
        <v>30</v>
      </c>
      <c r="E29" s="14" t="s">
        <v>105</v>
      </c>
      <c r="F29" s="14" t="s">
        <v>106</v>
      </c>
      <c r="G29" s="14" t="s">
        <v>107</v>
      </c>
      <c r="H29" s="14" t="s">
        <v>108</v>
      </c>
      <c r="I29" s="14" t="s">
        <v>109</v>
      </c>
      <c r="J29" s="14" t="s">
        <v>110</v>
      </c>
      <c r="K29" s="14" t="s">
        <v>111</v>
      </c>
      <c r="L29" s="15" t="s">
        <v>38</v>
      </c>
      <c r="M29" s="15" t="s">
        <v>39</v>
      </c>
      <c r="N29" s="15" t="s">
        <v>39</v>
      </c>
      <c r="O29" s="15" t="s">
        <v>39</v>
      </c>
      <c r="P29" s="15" t="s">
        <v>39</v>
      </c>
      <c r="Q29" s="15" t="s">
        <v>39</v>
      </c>
      <c r="R29" s="15"/>
      <c r="S29" s="15" t="s">
        <v>40</v>
      </c>
      <c r="T29" s="16" t="str">
        <f aca="false">IF(AND(L29&lt;&gt;"",M29&lt;&gt;"",N29&lt;&gt;"",O29&lt;&gt;"",P29&lt;&gt;"",Q29&lt;&gt;"",OR(L29&lt;&gt;"CORREGGERE",R29&lt;&gt;"")),"OK","DA COMPLETARE")</f>
        <v>OK</v>
      </c>
    </row>
    <row r="30" customFormat="false" ht="78" hidden="false" customHeight="true" outlineLevel="0" collapsed="false">
      <c r="A30" s="14" t="s">
        <v>112</v>
      </c>
      <c r="B30" s="14" t="s">
        <v>104</v>
      </c>
      <c r="C30" s="14" t="s">
        <v>42</v>
      </c>
      <c r="D30" s="14" t="s">
        <v>43</v>
      </c>
      <c r="E30" s="14" t="s">
        <v>105</v>
      </c>
      <c r="F30" s="14" t="s">
        <v>113</v>
      </c>
      <c r="G30" s="14" t="s">
        <v>114</v>
      </c>
      <c r="H30" s="14" t="s">
        <v>108</v>
      </c>
      <c r="I30" s="14" t="s">
        <v>109</v>
      </c>
      <c r="J30" s="14" t="s">
        <v>110</v>
      </c>
      <c r="K30" s="14" t="s">
        <v>111</v>
      </c>
      <c r="L30" s="15" t="s">
        <v>38</v>
      </c>
      <c r="M30" s="15" t="s">
        <v>39</v>
      </c>
      <c r="N30" s="15" t="s">
        <v>39</v>
      </c>
      <c r="O30" s="15" t="s">
        <v>39</v>
      </c>
      <c r="P30" s="15" t="s">
        <v>39</v>
      </c>
      <c r="Q30" s="15" t="s">
        <v>39</v>
      </c>
      <c r="R30" s="15"/>
      <c r="S30" s="15" t="s">
        <v>40</v>
      </c>
      <c r="T30" s="16" t="str">
        <f aca="false">IF(AND(L30&lt;&gt;"",M30&lt;&gt;"",N30&lt;&gt;"",O30&lt;&gt;"",P30&lt;&gt;"",Q30&lt;&gt;"",OR(L30&lt;&gt;"CORREGGERE",R30&lt;&gt;"")),"OK","DA COMPLETARE")</f>
        <v>OK</v>
      </c>
    </row>
    <row r="31" customFormat="false" ht="78" hidden="false" customHeight="true" outlineLevel="0" collapsed="false">
      <c r="A31" s="14" t="s">
        <v>115</v>
      </c>
      <c r="B31" s="14" t="s">
        <v>104</v>
      </c>
      <c r="C31" s="14" t="s">
        <v>42</v>
      </c>
      <c r="D31" s="14" t="s">
        <v>43</v>
      </c>
      <c r="E31" s="14" t="s">
        <v>105</v>
      </c>
      <c r="F31" s="14" t="s">
        <v>47</v>
      </c>
      <c r="G31" s="14" t="s">
        <v>116</v>
      </c>
      <c r="H31" s="14" t="s">
        <v>108</v>
      </c>
      <c r="I31" s="14" t="s">
        <v>109</v>
      </c>
      <c r="J31" s="14" t="s">
        <v>110</v>
      </c>
      <c r="K31" s="14" t="s">
        <v>111</v>
      </c>
      <c r="L31" s="15" t="s">
        <v>38</v>
      </c>
      <c r="M31" s="15" t="s">
        <v>39</v>
      </c>
      <c r="N31" s="15" t="s">
        <v>39</v>
      </c>
      <c r="O31" s="15" t="s">
        <v>39</v>
      </c>
      <c r="P31" s="15" t="s">
        <v>39</v>
      </c>
      <c r="Q31" s="15" t="s">
        <v>39</v>
      </c>
      <c r="R31" s="15"/>
      <c r="S31" s="15" t="s">
        <v>40</v>
      </c>
      <c r="T31" s="16" t="str">
        <f aca="false">IF(AND(L31&lt;&gt;"",M31&lt;&gt;"",N31&lt;&gt;"",O31&lt;&gt;"",P31&lt;&gt;"",Q31&lt;&gt;"",OR(L31&lt;&gt;"CORREGGERE",R31&lt;&gt;"")),"OK","DA COMPLETARE")</f>
        <v>OK</v>
      </c>
    </row>
    <row r="32" customFormat="false" ht="78" hidden="false" customHeight="true" outlineLevel="0" collapsed="false">
      <c r="A32" s="14" t="s">
        <v>117</v>
      </c>
      <c r="B32" s="14" t="s">
        <v>104</v>
      </c>
      <c r="C32" s="14" t="s">
        <v>50</v>
      </c>
      <c r="D32" s="14" t="s">
        <v>51</v>
      </c>
      <c r="E32" s="14" t="s">
        <v>105</v>
      </c>
      <c r="F32" s="14" t="s">
        <v>52</v>
      </c>
      <c r="G32" s="14" t="s">
        <v>118</v>
      </c>
      <c r="H32" s="14" t="s">
        <v>108</v>
      </c>
      <c r="I32" s="14" t="s">
        <v>109</v>
      </c>
      <c r="J32" s="14" t="s">
        <v>110</v>
      </c>
      <c r="K32" s="14" t="s">
        <v>111</v>
      </c>
      <c r="L32" s="15" t="s">
        <v>38</v>
      </c>
      <c r="M32" s="15" t="s">
        <v>39</v>
      </c>
      <c r="N32" s="15" t="s">
        <v>39</v>
      </c>
      <c r="O32" s="15" t="s">
        <v>39</v>
      </c>
      <c r="P32" s="15" t="s">
        <v>39</v>
      </c>
      <c r="Q32" s="15" t="s">
        <v>39</v>
      </c>
      <c r="R32" s="15"/>
      <c r="S32" s="15" t="s">
        <v>40</v>
      </c>
      <c r="T32" s="16" t="str">
        <f aca="false">IF(AND(L32&lt;&gt;"",M32&lt;&gt;"",N32&lt;&gt;"",O32&lt;&gt;"",P32&lt;&gt;"",Q32&lt;&gt;"",OR(L32&lt;&gt;"CORREGGERE",R32&lt;&gt;"")),"OK","DA COMPLETARE")</f>
        <v>OK</v>
      </c>
    </row>
    <row r="33" customFormat="false" ht="78" hidden="false" customHeight="true" outlineLevel="0" collapsed="false">
      <c r="A33" s="14" t="s">
        <v>119</v>
      </c>
      <c r="B33" s="14" t="s">
        <v>104</v>
      </c>
      <c r="C33" s="14" t="s">
        <v>50</v>
      </c>
      <c r="D33" s="14" t="s">
        <v>43</v>
      </c>
      <c r="E33" s="14" t="s">
        <v>105</v>
      </c>
      <c r="F33" s="14" t="s">
        <v>55</v>
      </c>
      <c r="G33" s="14" t="s">
        <v>120</v>
      </c>
      <c r="H33" s="14" t="s">
        <v>108</v>
      </c>
      <c r="I33" s="14" t="s">
        <v>121</v>
      </c>
      <c r="J33" s="14" t="s">
        <v>110</v>
      </c>
      <c r="K33" s="14" t="s">
        <v>111</v>
      </c>
      <c r="L33" s="15" t="s">
        <v>38</v>
      </c>
      <c r="M33" s="15" t="s">
        <v>39</v>
      </c>
      <c r="N33" s="15" t="s">
        <v>39</v>
      </c>
      <c r="O33" s="15" t="s">
        <v>39</v>
      </c>
      <c r="P33" s="15" t="s">
        <v>39</v>
      </c>
      <c r="Q33" s="15" t="s">
        <v>39</v>
      </c>
      <c r="R33" s="15"/>
      <c r="S33" s="15" t="s">
        <v>40</v>
      </c>
      <c r="T33" s="16" t="str">
        <f aca="false">IF(AND(L33&lt;&gt;"",M33&lt;&gt;"",N33&lt;&gt;"",O33&lt;&gt;"",P33&lt;&gt;"",Q33&lt;&gt;"",OR(L33&lt;&gt;"CORREGGERE",R33&lt;&gt;"")),"OK","DA COMPLETARE")</f>
        <v>OK</v>
      </c>
    </row>
    <row r="34" customFormat="false" ht="78" hidden="false" customHeight="true" outlineLevel="0" collapsed="false">
      <c r="A34" s="14" t="s">
        <v>122</v>
      </c>
      <c r="B34" s="14" t="s">
        <v>104</v>
      </c>
      <c r="C34" s="14" t="s">
        <v>50</v>
      </c>
      <c r="D34" s="14" t="s">
        <v>51</v>
      </c>
      <c r="E34" s="14" t="s">
        <v>105</v>
      </c>
      <c r="F34" s="14" t="s">
        <v>59</v>
      </c>
      <c r="G34" s="14" t="s">
        <v>123</v>
      </c>
      <c r="H34" s="14" t="s">
        <v>108</v>
      </c>
      <c r="I34" s="14" t="s">
        <v>109</v>
      </c>
      <c r="J34" s="14" t="s">
        <v>110</v>
      </c>
      <c r="K34" s="14" t="s">
        <v>111</v>
      </c>
      <c r="L34" s="15" t="s">
        <v>38</v>
      </c>
      <c r="M34" s="15" t="s">
        <v>39</v>
      </c>
      <c r="N34" s="15" t="s">
        <v>39</v>
      </c>
      <c r="O34" s="15" t="s">
        <v>39</v>
      </c>
      <c r="P34" s="15" t="s">
        <v>39</v>
      </c>
      <c r="Q34" s="15" t="s">
        <v>39</v>
      </c>
      <c r="R34" s="15"/>
      <c r="S34" s="15" t="s">
        <v>40</v>
      </c>
      <c r="T34" s="16" t="str">
        <f aca="false">IF(AND(L34&lt;&gt;"",M34&lt;&gt;"",N34&lt;&gt;"",O34&lt;&gt;"",P34&lt;&gt;"",Q34&lt;&gt;"",OR(L34&lt;&gt;"CORREGGERE",R34&lt;&gt;"")),"OK","DA COMPLETARE")</f>
        <v>OK</v>
      </c>
    </row>
    <row r="35" customFormat="false" ht="78" hidden="false" customHeight="true" outlineLevel="0" collapsed="false">
      <c r="A35" s="14" t="s">
        <v>124</v>
      </c>
      <c r="B35" s="14" t="s">
        <v>104</v>
      </c>
      <c r="C35" s="14" t="s">
        <v>42</v>
      </c>
      <c r="D35" s="14" t="s">
        <v>43</v>
      </c>
      <c r="E35" s="14" t="s">
        <v>105</v>
      </c>
      <c r="F35" s="14" t="s">
        <v>62</v>
      </c>
      <c r="G35" s="14" t="s">
        <v>125</v>
      </c>
      <c r="H35" s="14" t="s">
        <v>108</v>
      </c>
      <c r="I35" s="14" t="s">
        <v>109</v>
      </c>
      <c r="J35" s="14" t="s">
        <v>110</v>
      </c>
      <c r="K35" s="14" t="s">
        <v>111</v>
      </c>
      <c r="L35" s="15" t="s">
        <v>38</v>
      </c>
      <c r="M35" s="15" t="s">
        <v>39</v>
      </c>
      <c r="N35" s="15" t="s">
        <v>39</v>
      </c>
      <c r="O35" s="15" t="s">
        <v>39</v>
      </c>
      <c r="P35" s="15" t="s">
        <v>39</v>
      </c>
      <c r="Q35" s="15" t="s">
        <v>39</v>
      </c>
      <c r="R35" s="15"/>
      <c r="S35" s="15" t="s">
        <v>40</v>
      </c>
      <c r="T35" s="16" t="str">
        <f aca="false">IF(AND(L35&lt;&gt;"",M35&lt;&gt;"",N35&lt;&gt;"",O35&lt;&gt;"",P35&lt;&gt;"",Q35&lt;&gt;"",OR(L35&lt;&gt;"CORREGGERE",R35&lt;&gt;"")),"OK","DA COMPLETARE")</f>
        <v>OK</v>
      </c>
    </row>
    <row r="36" customFormat="false" ht="78" hidden="false" customHeight="true" outlineLevel="0" collapsed="false">
      <c r="A36" s="14" t="s">
        <v>126</v>
      </c>
      <c r="B36" s="14" t="s">
        <v>104</v>
      </c>
      <c r="C36" s="14" t="s">
        <v>29</v>
      </c>
      <c r="D36" s="14" t="s">
        <v>51</v>
      </c>
      <c r="E36" s="14" t="s">
        <v>105</v>
      </c>
      <c r="F36" s="14" t="s">
        <v>127</v>
      </c>
      <c r="G36" s="14" t="s">
        <v>128</v>
      </c>
      <c r="H36" s="14" t="s">
        <v>108</v>
      </c>
      <c r="I36" s="14" t="s">
        <v>109</v>
      </c>
      <c r="J36" s="14" t="s">
        <v>110</v>
      </c>
      <c r="K36" s="14" t="s">
        <v>111</v>
      </c>
      <c r="L36" s="15" t="s">
        <v>38</v>
      </c>
      <c r="M36" s="15" t="s">
        <v>39</v>
      </c>
      <c r="N36" s="15" t="s">
        <v>39</v>
      </c>
      <c r="O36" s="15" t="s">
        <v>39</v>
      </c>
      <c r="P36" s="15" t="s">
        <v>39</v>
      </c>
      <c r="Q36" s="15" t="s">
        <v>39</v>
      </c>
      <c r="R36" s="15"/>
      <c r="S36" s="15" t="s">
        <v>40</v>
      </c>
      <c r="T36" s="16" t="str">
        <f aca="false">IF(AND(L36&lt;&gt;"",M36&lt;&gt;"",N36&lt;&gt;"",O36&lt;&gt;"",P36&lt;&gt;"",Q36&lt;&gt;"",OR(L36&lt;&gt;"CORREGGERE",R36&lt;&gt;"")),"OK","DA COMPLETARE")</f>
        <v>OK</v>
      </c>
    </row>
    <row r="37" customFormat="false" ht="78" hidden="false" customHeight="true" outlineLevel="0" collapsed="false">
      <c r="A37" s="14" t="s">
        <v>129</v>
      </c>
      <c r="B37" s="14" t="s">
        <v>104</v>
      </c>
      <c r="C37" s="14" t="s">
        <v>42</v>
      </c>
      <c r="D37" s="14" t="s">
        <v>43</v>
      </c>
      <c r="E37" s="14" t="s">
        <v>105</v>
      </c>
      <c r="F37" s="14" t="s">
        <v>68</v>
      </c>
      <c r="G37" s="14" t="s">
        <v>130</v>
      </c>
      <c r="H37" s="14" t="s">
        <v>108</v>
      </c>
      <c r="I37" s="14" t="s">
        <v>109</v>
      </c>
      <c r="J37" s="14" t="s">
        <v>110</v>
      </c>
      <c r="K37" s="14" t="s">
        <v>111</v>
      </c>
      <c r="L37" s="15" t="s">
        <v>38</v>
      </c>
      <c r="M37" s="15" t="s">
        <v>39</v>
      </c>
      <c r="N37" s="15" t="s">
        <v>39</v>
      </c>
      <c r="O37" s="15" t="s">
        <v>39</v>
      </c>
      <c r="P37" s="15" t="s">
        <v>39</v>
      </c>
      <c r="Q37" s="15" t="s">
        <v>39</v>
      </c>
      <c r="R37" s="15"/>
      <c r="S37" s="15" t="s">
        <v>40</v>
      </c>
      <c r="T37" s="16" t="str">
        <f aca="false">IF(AND(L37&lt;&gt;"",M37&lt;&gt;"",N37&lt;&gt;"",O37&lt;&gt;"",P37&lt;&gt;"",Q37&lt;&gt;"",OR(L37&lt;&gt;"CORREGGERE",R37&lt;&gt;"")),"OK","DA COMPLETARE")</f>
        <v>OK</v>
      </c>
    </row>
    <row r="38" customFormat="false" ht="78" hidden="false" customHeight="true" outlineLevel="0" collapsed="false">
      <c r="A38" s="14" t="s">
        <v>131</v>
      </c>
      <c r="B38" s="14" t="s">
        <v>104</v>
      </c>
      <c r="C38" s="14" t="s">
        <v>42</v>
      </c>
      <c r="D38" s="14" t="s">
        <v>43</v>
      </c>
      <c r="E38" s="14" t="s">
        <v>105</v>
      </c>
      <c r="F38" s="14" t="s">
        <v>71</v>
      </c>
      <c r="G38" s="14" t="s">
        <v>132</v>
      </c>
      <c r="H38" s="14" t="s">
        <v>108</v>
      </c>
      <c r="I38" s="14" t="s">
        <v>109</v>
      </c>
      <c r="J38" s="14" t="s">
        <v>110</v>
      </c>
      <c r="K38" s="14" t="s">
        <v>111</v>
      </c>
      <c r="L38" s="15" t="s">
        <v>38</v>
      </c>
      <c r="M38" s="15" t="s">
        <v>39</v>
      </c>
      <c r="N38" s="15" t="s">
        <v>39</v>
      </c>
      <c r="O38" s="15" t="s">
        <v>39</v>
      </c>
      <c r="P38" s="15" t="s">
        <v>39</v>
      </c>
      <c r="Q38" s="15" t="s">
        <v>39</v>
      </c>
      <c r="R38" s="15"/>
      <c r="S38" s="15" t="s">
        <v>133</v>
      </c>
      <c r="T38" s="16" t="str">
        <f aca="false">IF(AND(L38&lt;&gt;"",M38&lt;&gt;"",N38&lt;&gt;"",O38&lt;&gt;"",P38&lt;&gt;"",Q38&lt;&gt;"",OR(L38&lt;&gt;"CORREGGERE",R38&lt;&gt;"")),"OK","DA COMPLETARE")</f>
        <v>OK</v>
      </c>
    </row>
    <row r="39" customFormat="false" ht="78" hidden="false" customHeight="true" outlineLevel="0" collapsed="false">
      <c r="A39" s="14" t="s">
        <v>134</v>
      </c>
      <c r="B39" s="14" t="s">
        <v>135</v>
      </c>
      <c r="C39" s="14" t="s">
        <v>29</v>
      </c>
      <c r="D39" s="14" t="s">
        <v>30</v>
      </c>
      <c r="E39" s="14" t="s">
        <v>136</v>
      </c>
      <c r="F39" s="14" t="s">
        <v>137</v>
      </c>
      <c r="G39" s="14" t="s">
        <v>138</v>
      </c>
      <c r="H39" s="14" t="s">
        <v>139</v>
      </c>
      <c r="I39" s="14" t="s">
        <v>140</v>
      </c>
      <c r="J39" s="14" t="s">
        <v>141</v>
      </c>
      <c r="K39" s="14" t="s">
        <v>142</v>
      </c>
      <c r="L39" s="15" t="s">
        <v>38</v>
      </c>
      <c r="M39" s="15" t="s">
        <v>39</v>
      </c>
      <c r="N39" s="15" t="s">
        <v>39</v>
      </c>
      <c r="O39" s="15" t="s">
        <v>39</v>
      </c>
      <c r="P39" s="15" t="s">
        <v>39</v>
      </c>
      <c r="Q39" s="15" t="s">
        <v>39</v>
      </c>
      <c r="R39" s="15"/>
      <c r="S39" s="15" t="s">
        <v>143</v>
      </c>
      <c r="T39" s="16" t="str">
        <f aca="false">IF(AND(L39&lt;&gt;"",M39&lt;&gt;"",N39&lt;&gt;"",O39&lt;&gt;"",P39&lt;&gt;"",Q39&lt;&gt;"",OR(L39&lt;&gt;"CORREGGERE",R39&lt;&gt;"")),"OK","DA COMPLETARE")</f>
        <v>OK</v>
      </c>
    </row>
    <row r="40" customFormat="false" ht="78" hidden="false" customHeight="true" outlineLevel="0" collapsed="false">
      <c r="A40" s="14" t="s">
        <v>144</v>
      </c>
      <c r="B40" s="14" t="s">
        <v>135</v>
      </c>
      <c r="C40" s="14" t="s">
        <v>42</v>
      </c>
      <c r="D40" s="14" t="s">
        <v>43</v>
      </c>
      <c r="E40" s="14" t="s">
        <v>136</v>
      </c>
      <c r="F40" s="14" t="s">
        <v>145</v>
      </c>
      <c r="G40" s="14" t="s">
        <v>146</v>
      </c>
      <c r="H40" s="14" t="s">
        <v>139</v>
      </c>
      <c r="I40" s="14" t="s">
        <v>140</v>
      </c>
      <c r="J40" s="14" t="s">
        <v>141</v>
      </c>
      <c r="K40" s="14" t="s">
        <v>142</v>
      </c>
      <c r="L40" s="15" t="s">
        <v>38</v>
      </c>
      <c r="M40" s="15" t="s">
        <v>39</v>
      </c>
      <c r="N40" s="15" t="s">
        <v>39</v>
      </c>
      <c r="O40" s="15" t="s">
        <v>39</v>
      </c>
      <c r="P40" s="15" t="s">
        <v>39</v>
      </c>
      <c r="Q40" s="15" t="s">
        <v>39</v>
      </c>
      <c r="R40" s="15"/>
      <c r="S40" s="15" t="s">
        <v>143</v>
      </c>
      <c r="T40" s="16" t="str">
        <f aca="false">IF(AND(L40&lt;&gt;"",M40&lt;&gt;"",N40&lt;&gt;"",O40&lt;&gt;"",P40&lt;&gt;"",Q40&lt;&gt;"",OR(L40&lt;&gt;"CORREGGERE",R40&lt;&gt;"")),"OK","DA COMPLETARE")</f>
        <v>OK</v>
      </c>
    </row>
    <row r="41" customFormat="false" ht="78" hidden="false" customHeight="true" outlineLevel="0" collapsed="false">
      <c r="A41" s="14" t="s">
        <v>147</v>
      </c>
      <c r="B41" s="14" t="s">
        <v>135</v>
      </c>
      <c r="C41" s="14" t="s">
        <v>42</v>
      </c>
      <c r="D41" s="14" t="s">
        <v>43</v>
      </c>
      <c r="E41" s="14" t="s">
        <v>136</v>
      </c>
      <c r="F41" s="14" t="s">
        <v>47</v>
      </c>
      <c r="G41" s="14" t="s">
        <v>148</v>
      </c>
      <c r="H41" s="14" t="s">
        <v>139</v>
      </c>
      <c r="I41" s="14" t="s">
        <v>140</v>
      </c>
      <c r="J41" s="14" t="s">
        <v>141</v>
      </c>
      <c r="K41" s="14" t="s">
        <v>142</v>
      </c>
      <c r="L41" s="15" t="s">
        <v>38</v>
      </c>
      <c r="M41" s="15" t="s">
        <v>39</v>
      </c>
      <c r="N41" s="15" t="s">
        <v>39</v>
      </c>
      <c r="O41" s="15" t="s">
        <v>39</v>
      </c>
      <c r="P41" s="15" t="s">
        <v>39</v>
      </c>
      <c r="Q41" s="15" t="s">
        <v>39</v>
      </c>
      <c r="R41" s="15"/>
      <c r="S41" s="15" t="s">
        <v>40</v>
      </c>
      <c r="T41" s="16" t="str">
        <f aca="false">IF(AND(L41&lt;&gt;"",M41&lt;&gt;"",N41&lt;&gt;"",O41&lt;&gt;"",P41&lt;&gt;"",Q41&lt;&gt;"",OR(L41&lt;&gt;"CORREGGERE",R41&lt;&gt;"")),"OK","DA COMPLETARE")</f>
        <v>OK</v>
      </c>
    </row>
    <row r="42" customFormat="false" ht="78" hidden="false" customHeight="true" outlineLevel="0" collapsed="false">
      <c r="A42" s="14" t="s">
        <v>149</v>
      </c>
      <c r="B42" s="14" t="s">
        <v>135</v>
      </c>
      <c r="C42" s="14" t="s">
        <v>50</v>
      </c>
      <c r="D42" s="14" t="s">
        <v>51</v>
      </c>
      <c r="E42" s="14" t="s">
        <v>136</v>
      </c>
      <c r="F42" s="14" t="s">
        <v>52</v>
      </c>
      <c r="G42" s="14" t="s">
        <v>150</v>
      </c>
      <c r="H42" s="14" t="s">
        <v>139</v>
      </c>
      <c r="I42" s="14" t="s">
        <v>140</v>
      </c>
      <c r="J42" s="14" t="s">
        <v>141</v>
      </c>
      <c r="K42" s="14" t="s">
        <v>142</v>
      </c>
      <c r="L42" s="15" t="s">
        <v>38</v>
      </c>
      <c r="M42" s="15" t="s">
        <v>39</v>
      </c>
      <c r="N42" s="15" t="s">
        <v>39</v>
      </c>
      <c r="O42" s="15" t="s">
        <v>39</v>
      </c>
      <c r="P42" s="15" t="s">
        <v>39</v>
      </c>
      <c r="Q42" s="15" t="s">
        <v>39</v>
      </c>
      <c r="R42" s="15"/>
      <c r="S42" s="15" t="s">
        <v>40</v>
      </c>
      <c r="T42" s="16" t="str">
        <f aca="false">IF(AND(L42&lt;&gt;"",M42&lt;&gt;"",N42&lt;&gt;"",O42&lt;&gt;"",P42&lt;&gt;"",Q42&lt;&gt;"",OR(L42&lt;&gt;"CORREGGERE",R42&lt;&gt;"")),"OK","DA COMPLETARE")</f>
        <v>OK</v>
      </c>
    </row>
    <row r="43" customFormat="false" ht="78" hidden="false" customHeight="true" outlineLevel="0" collapsed="false">
      <c r="A43" s="14" t="s">
        <v>151</v>
      </c>
      <c r="B43" s="14" t="s">
        <v>135</v>
      </c>
      <c r="C43" s="14" t="s">
        <v>50</v>
      </c>
      <c r="D43" s="14" t="s">
        <v>43</v>
      </c>
      <c r="E43" s="14" t="s">
        <v>136</v>
      </c>
      <c r="F43" s="14" t="s">
        <v>55</v>
      </c>
      <c r="G43" s="14" t="s">
        <v>152</v>
      </c>
      <c r="H43" s="14" t="s">
        <v>139</v>
      </c>
      <c r="I43" s="14" t="s">
        <v>153</v>
      </c>
      <c r="J43" s="14" t="s">
        <v>141</v>
      </c>
      <c r="K43" s="14" t="s">
        <v>142</v>
      </c>
      <c r="L43" s="15" t="s">
        <v>38</v>
      </c>
      <c r="M43" s="15" t="s">
        <v>39</v>
      </c>
      <c r="N43" s="15" t="s">
        <v>39</v>
      </c>
      <c r="O43" s="15" t="s">
        <v>39</v>
      </c>
      <c r="P43" s="15" t="s">
        <v>39</v>
      </c>
      <c r="Q43" s="15" t="s">
        <v>39</v>
      </c>
      <c r="R43" s="15"/>
      <c r="S43" s="15" t="s">
        <v>40</v>
      </c>
      <c r="T43" s="16" t="str">
        <f aca="false">IF(AND(L43&lt;&gt;"",M43&lt;&gt;"",N43&lt;&gt;"",O43&lt;&gt;"",P43&lt;&gt;"",Q43&lt;&gt;"",OR(L43&lt;&gt;"CORREGGERE",R43&lt;&gt;"")),"OK","DA COMPLETARE")</f>
        <v>OK</v>
      </c>
    </row>
    <row r="44" customFormat="false" ht="78" hidden="false" customHeight="true" outlineLevel="0" collapsed="false">
      <c r="A44" s="14" t="s">
        <v>154</v>
      </c>
      <c r="B44" s="14" t="s">
        <v>135</v>
      </c>
      <c r="C44" s="14" t="s">
        <v>50</v>
      </c>
      <c r="D44" s="14" t="s">
        <v>51</v>
      </c>
      <c r="E44" s="14" t="s">
        <v>136</v>
      </c>
      <c r="F44" s="14" t="s">
        <v>59</v>
      </c>
      <c r="G44" s="14" t="s">
        <v>155</v>
      </c>
      <c r="H44" s="14" t="s">
        <v>139</v>
      </c>
      <c r="I44" s="14" t="s">
        <v>140</v>
      </c>
      <c r="J44" s="14" t="s">
        <v>141</v>
      </c>
      <c r="K44" s="14" t="s">
        <v>142</v>
      </c>
      <c r="L44" s="15" t="s">
        <v>38</v>
      </c>
      <c r="M44" s="15" t="s">
        <v>39</v>
      </c>
      <c r="N44" s="15" t="s">
        <v>39</v>
      </c>
      <c r="O44" s="15" t="s">
        <v>39</v>
      </c>
      <c r="P44" s="15" t="s">
        <v>39</v>
      </c>
      <c r="Q44" s="15" t="s">
        <v>39</v>
      </c>
      <c r="R44" s="15"/>
      <c r="S44" s="15" t="s">
        <v>40</v>
      </c>
      <c r="T44" s="16" t="str">
        <f aca="false">IF(AND(L44&lt;&gt;"",M44&lt;&gt;"",N44&lt;&gt;"",O44&lt;&gt;"",P44&lt;&gt;"",Q44&lt;&gt;"",OR(L44&lt;&gt;"CORREGGERE",R44&lt;&gt;"")),"OK","DA COMPLETARE")</f>
        <v>OK</v>
      </c>
    </row>
    <row r="45" customFormat="false" ht="78" hidden="false" customHeight="true" outlineLevel="0" collapsed="false">
      <c r="A45" s="14" t="s">
        <v>156</v>
      </c>
      <c r="B45" s="14" t="s">
        <v>135</v>
      </c>
      <c r="C45" s="14" t="s">
        <v>42</v>
      </c>
      <c r="D45" s="14" t="s">
        <v>43</v>
      </c>
      <c r="E45" s="14" t="s">
        <v>136</v>
      </c>
      <c r="F45" s="14" t="s">
        <v>62</v>
      </c>
      <c r="G45" s="14" t="s">
        <v>157</v>
      </c>
      <c r="H45" s="14" t="s">
        <v>139</v>
      </c>
      <c r="I45" s="14" t="s">
        <v>140</v>
      </c>
      <c r="J45" s="14" t="s">
        <v>141</v>
      </c>
      <c r="K45" s="14" t="s">
        <v>142</v>
      </c>
      <c r="L45" s="15" t="s">
        <v>38</v>
      </c>
      <c r="M45" s="15" t="s">
        <v>39</v>
      </c>
      <c r="N45" s="15" t="s">
        <v>39</v>
      </c>
      <c r="O45" s="15" t="s">
        <v>39</v>
      </c>
      <c r="P45" s="15" t="s">
        <v>39</v>
      </c>
      <c r="Q45" s="15" t="s">
        <v>39</v>
      </c>
      <c r="R45" s="15"/>
      <c r="S45" s="15" t="s">
        <v>40</v>
      </c>
      <c r="T45" s="16" t="str">
        <f aca="false">IF(AND(L45&lt;&gt;"",M45&lt;&gt;"",N45&lt;&gt;"",O45&lt;&gt;"",P45&lt;&gt;"",Q45&lt;&gt;"",OR(L45&lt;&gt;"CORREGGERE",R45&lt;&gt;"")),"OK","DA COMPLETARE")</f>
        <v>OK</v>
      </c>
    </row>
    <row r="46" customFormat="false" ht="78" hidden="false" customHeight="true" outlineLevel="0" collapsed="false">
      <c r="A46" s="14" t="s">
        <v>158</v>
      </c>
      <c r="B46" s="14" t="s">
        <v>135</v>
      </c>
      <c r="C46" s="14" t="s">
        <v>29</v>
      </c>
      <c r="D46" s="14" t="s">
        <v>51</v>
      </c>
      <c r="E46" s="14" t="s">
        <v>136</v>
      </c>
      <c r="F46" s="14" t="s">
        <v>159</v>
      </c>
      <c r="G46" s="14" t="s">
        <v>160</v>
      </c>
      <c r="H46" s="14" t="s">
        <v>139</v>
      </c>
      <c r="I46" s="14" t="s">
        <v>140</v>
      </c>
      <c r="J46" s="14" t="s">
        <v>141</v>
      </c>
      <c r="K46" s="14" t="s">
        <v>142</v>
      </c>
      <c r="L46" s="15" t="s">
        <v>38</v>
      </c>
      <c r="M46" s="15" t="s">
        <v>39</v>
      </c>
      <c r="N46" s="15" t="s">
        <v>39</v>
      </c>
      <c r="O46" s="15" t="s">
        <v>39</v>
      </c>
      <c r="P46" s="15" t="s">
        <v>39</v>
      </c>
      <c r="Q46" s="15" t="s">
        <v>39</v>
      </c>
      <c r="R46" s="15"/>
      <c r="S46" s="15" t="s">
        <v>143</v>
      </c>
      <c r="T46" s="16" t="str">
        <f aca="false">IF(AND(L46&lt;&gt;"",M46&lt;&gt;"",N46&lt;&gt;"",O46&lt;&gt;"",P46&lt;&gt;"",Q46&lt;&gt;"",OR(L46&lt;&gt;"CORREGGERE",R46&lt;&gt;"")),"OK","DA COMPLETARE")</f>
        <v>OK</v>
      </c>
    </row>
    <row r="47" customFormat="false" ht="78" hidden="false" customHeight="true" outlineLevel="0" collapsed="false">
      <c r="A47" s="14" t="s">
        <v>161</v>
      </c>
      <c r="B47" s="14" t="s">
        <v>135</v>
      </c>
      <c r="C47" s="14" t="s">
        <v>42</v>
      </c>
      <c r="D47" s="14" t="s">
        <v>43</v>
      </c>
      <c r="E47" s="14" t="s">
        <v>136</v>
      </c>
      <c r="F47" s="14" t="s">
        <v>68</v>
      </c>
      <c r="G47" s="14" t="s">
        <v>162</v>
      </c>
      <c r="H47" s="14" t="s">
        <v>139</v>
      </c>
      <c r="I47" s="14" t="s">
        <v>140</v>
      </c>
      <c r="J47" s="14" t="s">
        <v>141</v>
      </c>
      <c r="K47" s="14" t="s">
        <v>142</v>
      </c>
      <c r="L47" s="15" t="s">
        <v>38</v>
      </c>
      <c r="M47" s="15" t="s">
        <v>39</v>
      </c>
      <c r="N47" s="15" t="s">
        <v>39</v>
      </c>
      <c r="O47" s="15" t="s">
        <v>39</v>
      </c>
      <c r="P47" s="15" t="s">
        <v>39</v>
      </c>
      <c r="Q47" s="15" t="s">
        <v>39</v>
      </c>
      <c r="R47" s="15"/>
      <c r="S47" s="15" t="s">
        <v>40</v>
      </c>
      <c r="T47" s="16" t="str">
        <f aca="false">IF(AND(L47&lt;&gt;"",M47&lt;&gt;"",N47&lt;&gt;"",O47&lt;&gt;"",P47&lt;&gt;"",Q47&lt;&gt;"",OR(L47&lt;&gt;"CORREGGERE",R47&lt;&gt;"")),"OK","DA COMPLETARE")</f>
        <v>OK</v>
      </c>
    </row>
    <row r="48" customFormat="false" ht="78" hidden="false" customHeight="true" outlineLevel="0" collapsed="false">
      <c r="A48" s="14" t="s">
        <v>163</v>
      </c>
      <c r="B48" s="14" t="s">
        <v>135</v>
      </c>
      <c r="C48" s="14" t="s">
        <v>42</v>
      </c>
      <c r="D48" s="14" t="s">
        <v>43</v>
      </c>
      <c r="E48" s="14" t="s">
        <v>136</v>
      </c>
      <c r="F48" s="14" t="s">
        <v>71</v>
      </c>
      <c r="G48" s="14" t="s">
        <v>164</v>
      </c>
      <c r="H48" s="14" t="s">
        <v>139</v>
      </c>
      <c r="I48" s="14" t="s">
        <v>140</v>
      </c>
      <c r="J48" s="14" t="s">
        <v>141</v>
      </c>
      <c r="K48" s="14" t="s">
        <v>142</v>
      </c>
      <c r="L48" s="15" t="s">
        <v>38</v>
      </c>
      <c r="M48" s="15" t="s">
        <v>39</v>
      </c>
      <c r="N48" s="15" t="s">
        <v>39</v>
      </c>
      <c r="O48" s="15" t="s">
        <v>39</v>
      </c>
      <c r="P48" s="15" t="s">
        <v>39</v>
      </c>
      <c r="Q48" s="15" t="s">
        <v>39</v>
      </c>
      <c r="R48" s="15"/>
      <c r="S48" s="15" t="s">
        <v>143</v>
      </c>
      <c r="T48" s="16" t="str">
        <f aca="false">IF(AND(L48&lt;&gt;"",M48&lt;&gt;"",N48&lt;&gt;"",O48&lt;&gt;"",P48&lt;&gt;"",Q48&lt;&gt;"",OR(L48&lt;&gt;"CORREGGERE",R48&lt;&gt;"")),"OK","DA COMPLETARE")</f>
        <v>OK</v>
      </c>
    </row>
    <row r="49" customFormat="false" ht="78" hidden="false" customHeight="true" outlineLevel="0" collapsed="false">
      <c r="A49" s="14" t="s">
        <v>165</v>
      </c>
      <c r="B49" s="14" t="s">
        <v>166</v>
      </c>
      <c r="C49" s="14" t="s">
        <v>29</v>
      </c>
      <c r="D49" s="14" t="s">
        <v>30</v>
      </c>
      <c r="E49" s="14" t="s">
        <v>167</v>
      </c>
      <c r="F49" s="14" t="s">
        <v>168</v>
      </c>
      <c r="G49" s="14" t="s">
        <v>169</v>
      </c>
      <c r="H49" s="14" t="s">
        <v>170</v>
      </c>
      <c r="I49" s="14" t="s">
        <v>171</v>
      </c>
      <c r="J49" s="14" t="s">
        <v>172</v>
      </c>
      <c r="K49" s="14" t="s">
        <v>142</v>
      </c>
      <c r="L49" s="15"/>
      <c r="M49" s="15"/>
      <c r="N49" s="15"/>
      <c r="O49" s="15"/>
      <c r="P49" s="15"/>
      <c r="Q49" s="15"/>
      <c r="R49" s="15"/>
      <c r="S49" s="15"/>
      <c r="T49" s="16" t="str">
        <f aca="false">IF(AND(L49&lt;&gt;"",M49&lt;&gt;"",N49&lt;&gt;"",O49&lt;&gt;"",P49&lt;&gt;"",Q49&lt;&gt;"",OR(L49&lt;&gt;"CORREGGERE",R49&lt;&gt;"")),"OK","DA COMPLETARE")</f>
        <v>DA COMPLETARE</v>
      </c>
    </row>
    <row r="50" customFormat="false" ht="78" hidden="false" customHeight="true" outlineLevel="0" collapsed="false">
      <c r="A50" s="14" t="s">
        <v>173</v>
      </c>
      <c r="B50" s="14" t="s">
        <v>166</v>
      </c>
      <c r="C50" s="14" t="s">
        <v>42</v>
      </c>
      <c r="D50" s="14" t="s">
        <v>43</v>
      </c>
      <c r="E50" s="14" t="s">
        <v>167</v>
      </c>
      <c r="F50" s="14" t="s">
        <v>174</v>
      </c>
      <c r="G50" s="14" t="s">
        <v>175</v>
      </c>
      <c r="H50" s="14" t="s">
        <v>170</v>
      </c>
      <c r="I50" s="14" t="s">
        <v>171</v>
      </c>
      <c r="J50" s="14" t="s">
        <v>172</v>
      </c>
      <c r="K50" s="14" t="s">
        <v>142</v>
      </c>
      <c r="L50" s="15"/>
      <c r="M50" s="15"/>
      <c r="N50" s="15"/>
      <c r="O50" s="15"/>
      <c r="P50" s="15"/>
      <c r="Q50" s="15"/>
      <c r="R50" s="15"/>
      <c r="S50" s="15"/>
      <c r="T50" s="16" t="str">
        <f aca="false">IF(AND(L50&lt;&gt;"",M50&lt;&gt;"",N50&lt;&gt;"",O50&lt;&gt;"",P50&lt;&gt;"",Q50&lt;&gt;"",OR(L50&lt;&gt;"CORREGGERE",R50&lt;&gt;"")),"OK","DA COMPLETARE")</f>
        <v>DA COMPLETARE</v>
      </c>
    </row>
    <row r="51" customFormat="false" ht="78" hidden="false" customHeight="true" outlineLevel="0" collapsed="false">
      <c r="A51" s="14" t="s">
        <v>176</v>
      </c>
      <c r="B51" s="14" t="s">
        <v>166</v>
      </c>
      <c r="C51" s="14" t="s">
        <v>42</v>
      </c>
      <c r="D51" s="14" t="s">
        <v>43</v>
      </c>
      <c r="E51" s="14" t="s">
        <v>167</v>
      </c>
      <c r="F51" s="14" t="s">
        <v>47</v>
      </c>
      <c r="G51" s="14" t="s">
        <v>177</v>
      </c>
      <c r="H51" s="14" t="s">
        <v>170</v>
      </c>
      <c r="I51" s="14" t="s">
        <v>171</v>
      </c>
      <c r="J51" s="14" t="s">
        <v>172</v>
      </c>
      <c r="K51" s="14" t="s">
        <v>142</v>
      </c>
      <c r="L51" s="15"/>
      <c r="M51" s="15"/>
      <c r="N51" s="15"/>
      <c r="O51" s="15"/>
      <c r="P51" s="15"/>
      <c r="Q51" s="15"/>
      <c r="R51" s="15"/>
      <c r="S51" s="15"/>
      <c r="T51" s="16" t="str">
        <f aca="false">IF(AND(L51&lt;&gt;"",M51&lt;&gt;"",N51&lt;&gt;"",O51&lt;&gt;"",P51&lt;&gt;"",Q51&lt;&gt;"",OR(L51&lt;&gt;"CORREGGERE",R51&lt;&gt;"")),"OK","DA COMPLETARE")</f>
        <v>DA COMPLETARE</v>
      </c>
    </row>
    <row r="52" customFormat="false" ht="78" hidden="false" customHeight="true" outlineLevel="0" collapsed="false">
      <c r="A52" s="14" t="s">
        <v>178</v>
      </c>
      <c r="B52" s="14" t="s">
        <v>166</v>
      </c>
      <c r="C52" s="14" t="s">
        <v>50</v>
      </c>
      <c r="D52" s="14" t="s">
        <v>51</v>
      </c>
      <c r="E52" s="14" t="s">
        <v>167</v>
      </c>
      <c r="F52" s="14" t="s">
        <v>52</v>
      </c>
      <c r="G52" s="14" t="s">
        <v>179</v>
      </c>
      <c r="H52" s="14" t="s">
        <v>170</v>
      </c>
      <c r="I52" s="14" t="s">
        <v>171</v>
      </c>
      <c r="J52" s="14" t="s">
        <v>172</v>
      </c>
      <c r="K52" s="14" t="s">
        <v>142</v>
      </c>
      <c r="L52" s="15"/>
      <c r="M52" s="15"/>
      <c r="N52" s="15"/>
      <c r="O52" s="15"/>
      <c r="P52" s="15"/>
      <c r="Q52" s="15"/>
      <c r="R52" s="15"/>
      <c r="S52" s="15"/>
      <c r="T52" s="16" t="str">
        <f aca="false">IF(AND(L52&lt;&gt;"",M52&lt;&gt;"",N52&lt;&gt;"",O52&lt;&gt;"",P52&lt;&gt;"",Q52&lt;&gt;"",OR(L52&lt;&gt;"CORREGGERE",R52&lt;&gt;"")),"OK","DA COMPLETARE")</f>
        <v>DA COMPLETARE</v>
      </c>
    </row>
    <row r="53" customFormat="false" ht="78" hidden="false" customHeight="true" outlineLevel="0" collapsed="false">
      <c r="A53" s="14" t="s">
        <v>180</v>
      </c>
      <c r="B53" s="14" t="s">
        <v>166</v>
      </c>
      <c r="C53" s="14" t="s">
        <v>50</v>
      </c>
      <c r="D53" s="14" t="s">
        <v>43</v>
      </c>
      <c r="E53" s="14" t="s">
        <v>167</v>
      </c>
      <c r="F53" s="14" t="s">
        <v>55</v>
      </c>
      <c r="G53" s="14" t="s">
        <v>181</v>
      </c>
      <c r="H53" s="14" t="s">
        <v>170</v>
      </c>
      <c r="I53" s="14" t="s">
        <v>182</v>
      </c>
      <c r="J53" s="14" t="s">
        <v>172</v>
      </c>
      <c r="K53" s="14" t="s">
        <v>142</v>
      </c>
      <c r="L53" s="15"/>
      <c r="M53" s="15"/>
      <c r="N53" s="15"/>
      <c r="O53" s="15"/>
      <c r="P53" s="15"/>
      <c r="Q53" s="15"/>
      <c r="R53" s="15"/>
      <c r="S53" s="15"/>
      <c r="T53" s="16" t="str">
        <f aca="false">IF(AND(L53&lt;&gt;"",M53&lt;&gt;"",N53&lt;&gt;"",O53&lt;&gt;"",P53&lt;&gt;"",Q53&lt;&gt;"",OR(L53&lt;&gt;"CORREGGERE",R53&lt;&gt;"")),"OK","DA COMPLETARE")</f>
        <v>DA COMPLETARE</v>
      </c>
    </row>
    <row r="54" customFormat="false" ht="78" hidden="false" customHeight="true" outlineLevel="0" collapsed="false">
      <c r="A54" s="14" t="s">
        <v>183</v>
      </c>
      <c r="B54" s="14" t="s">
        <v>166</v>
      </c>
      <c r="C54" s="14" t="s">
        <v>50</v>
      </c>
      <c r="D54" s="14" t="s">
        <v>51</v>
      </c>
      <c r="E54" s="14" t="s">
        <v>167</v>
      </c>
      <c r="F54" s="14" t="s">
        <v>59</v>
      </c>
      <c r="G54" s="14" t="s">
        <v>184</v>
      </c>
      <c r="H54" s="14" t="s">
        <v>170</v>
      </c>
      <c r="I54" s="14" t="s">
        <v>171</v>
      </c>
      <c r="J54" s="14" t="s">
        <v>172</v>
      </c>
      <c r="K54" s="14" t="s">
        <v>142</v>
      </c>
      <c r="L54" s="15"/>
      <c r="M54" s="15"/>
      <c r="N54" s="15"/>
      <c r="O54" s="15"/>
      <c r="P54" s="15"/>
      <c r="Q54" s="15"/>
      <c r="R54" s="15"/>
      <c r="S54" s="15"/>
      <c r="T54" s="16" t="str">
        <f aca="false">IF(AND(L54&lt;&gt;"",M54&lt;&gt;"",N54&lt;&gt;"",O54&lt;&gt;"",P54&lt;&gt;"",Q54&lt;&gt;"",OR(L54&lt;&gt;"CORREGGERE",R54&lt;&gt;"")),"OK","DA COMPLETARE")</f>
        <v>DA COMPLETARE</v>
      </c>
    </row>
    <row r="55" customFormat="false" ht="78" hidden="false" customHeight="true" outlineLevel="0" collapsed="false">
      <c r="A55" s="14" t="s">
        <v>185</v>
      </c>
      <c r="B55" s="14" t="s">
        <v>166</v>
      </c>
      <c r="C55" s="14" t="s">
        <v>42</v>
      </c>
      <c r="D55" s="14" t="s">
        <v>43</v>
      </c>
      <c r="E55" s="14" t="s">
        <v>167</v>
      </c>
      <c r="F55" s="14" t="s">
        <v>62</v>
      </c>
      <c r="G55" s="14" t="s">
        <v>186</v>
      </c>
      <c r="H55" s="14" t="s">
        <v>170</v>
      </c>
      <c r="I55" s="14" t="s">
        <v>171</v>
      </c>
      <c r="J55" s="14" t="s">
        <v>172</v>
      </c>
      <c r="K55" s="14" t="s">
        <v>142</v>
      </c>
      <c r="L55" s="15"/>
      <c r="M55" s="15"/>
      <c r="N55" s="15"/>
      <c r="O55" s="15"/>
      <c r="P55" s="15"/>
      <c r="Q55" s="15"/>
      <c r="R55" s="15"/>
      <c r="S55" s="15"/>
      <c r="T55" s="16" t="str">
        <f aca="false">IF(AND(L55&lt;&gt;"",M55&lt;&gt;"",N55&lt;&gt;"",O55&lt;&gt;"",P55&lt;&gt;"",Q55&lt;&gt;"",OR(L55&lt;&gt;"CORREGGERE",R55&lt;&gt;"")),"OK","DA COMPLETARE")</f>
        <v>DA COMPLETARE</v>
      </c>
    </row>
    <row r="56" customFormat="false" ht="78" hidden="false" customHeight="true" outlineLevel="0" collapsed="false">
      <c r="A56" s="14" t="s">
        <v>187</v>
      </c>
      <c r="B56" s="14" t="s">
        <v>166</v>
      </c>
      <c r="C56" s="14" t="s">
        <v>29</v>
      </c>
      <c r="D56" s="14" t="s">
        <v>51</v>
      </c>
      <c r="E56" s="14" t="s">
        <v>167</v>
      </c>
      <c r="F56" s="14" t="s">
        <v>188</v>
      </c>
      <c r="G56" s="14" t="s">
        <v>189</v>
      </c>
      <c r="H56" s="14" t="s">
        <v>170</v>
      </c>
      <c r="I56" s="14" t="s">
        <v>171</v>
      </c>
      <c r="J56" s="14" t="s">
        <v>172</v>
      </c>
      <c r="K56" s="14" t="s">
        <v>142</v>
      </c>
      <c r="L56" s="15"/>
      <c r="M56" s="15"/>
      <c r="N56" s="15"/>
      <c r="O56" s="15"/>
      <c r="P56" s="15"/>
      <c r="Q56" s="15"/>
      <c r="R56" s="15"/>
      <c r="S56" s="15"/>
      <c r="T56" s="16" t="str">
        <f aca="false">IF(AND(L56&lt;&gt;"",M56&lt;&gt;"",N56&lt;&gt;"",O56&lt;&gt;"",P56&lt;&gt;"",Q56&lt;&gt;"",OR(L56&lt;&gt;"CORREGGERE",R56&lt;&gt;"")),"OK","DA COMPLETARE")</f>
        <v>DA COMPLETARE</v>
      </c>
    </row>
    <row r="57" customFormat="false" ht="78" hidden="false" customHeight="true" outlineLevel="0" collapsed="false">
      <c r="A57" s="14" t="s">
        <v>190</v>
      </c>
      <c r="B57" s="14" t="s">
        <v>166</v>
      </c>
      <c r="C57" s="14" t="s">
        <v>42</v>
      </c>
      <c r="D57" s="14" t="s">
        <v>43</v>
      </c>
      <c r="E57" s="14" t="s">
        <v>167</v>
      </c>
      <c r="F57" s="14" t="s">
        <v>68</v>
      </c>
      <c r="G57" s="14" t="s">
        <v>191</v>
      </c>
      <c r="H57" s="14" t="s">
        <v>170</v>
      </c>
      <c r="I57" s="14" t="s">
        <v>171</v>
      </c>
      <c r="J57" s="14" t="s">
        <v>172</v>
      </c>
      <c r="K57" s="14" t="s">
        <v>142</v>
      </c>
      <c r="L57" s="15"/>
      <c r="M57" s="15"/>
      <c r="N57" s="15"/>
      <c r="O57" s="15"/>
      <c r="P57" s="15"/>
      <c r="Q57" s="15"/>
      <c r="R57" s="15"/>
      <c r="S57" s="15"/>
      <c r="T57" s="16" t="str">
        <f aca="false">IF(AND(L57&lt;&gt;"",M57&lt;&gt;"",N57&lt;&gt;"",O57&lt;&gt;"",P57&lt;&gt;"",Q57&lt;&gt;"",OR(L57&lt;&gt;"CORREGGERE",R57&lt;&gt;"")),"OK","DA COMPLETARE")</f>
        <v>DA COMPLETARE</v>
      </c>
    </row>
    <row r="58" customFormat="false" ht="78" hidden="false" customHeight="true" outlineLevel="0" collapsed="false">
      <c r="A58" s="14" t="s">
        <v>192</v>
      </c>
      <c r="B58" s="14" t="s">
        <v>166</v>
      </c>
      <c r="C58" s="14" t="s">
        <v>42</v>
      </c>
      <c r="D58" s="14" t="s">
        <v>43</v>
      </c>
      <c r="E58" s="14" t="s">
        <v>167</v>
      </c>
      <c r="F58" s="14" t="s">
        <v>71</v>
      </c>
      <c r="G58" s="14" t="s">
        <v>193</v>
      </c>
      <c r="H58" s="14" t="s">
        <v>170</v>
      </c>
      <c r="I58" s="14" t="s">
        <v>171</v>
      </c>
      <c r="J58" s="14" t="s">
        <v>172</v>
      </c>
      <c r="K58" s="14" t="s">
        <v>142</v>
      </c>
      <c r="L58" s="15"/>
      <c r="M58" s="15"/>
      <c r="N58" s="15"/>
      <c r="O58" s="15"/>
      <c r="P58" s="15"/>
      <c r="Q58" s="15"/>
      <c r="R58" s="15"/>
      <c r="S58" s="15"/>
      <c r="T58" s="16" t="str">
        <f aca="false">IF(AND(L58&lt;&gt;"",M58&lt;&gt;"",N58&lt;&gt;"",O58&lt;&gt;"",P58&lt;&gt;"",Q58&lt;&gt;"",OR(L58&lt;&gt;"CORREGGERE",R58&lt;&gt;"")),"OK","DA COMPLETARE")</f>
        <v>DA COMPLETARE</v>
      </c>
    </row>
  </sheetData>
  <mergeCells count="2">
    <mergeCell ref="A2:T2"/>
    <mergeCell ref="A3:T3"/>
  </mergeCells>
  <conditionalFormatting sqref="T9:T58">
    <cfRule type="containsText" priority="2" operator="containsText" aboveAverage="0" equalAverage="0" bottom="0" percent="0" rank="0" text="OK" dxfId="0">
      <formula>NOT(ISERROR(SEARCH("OK",T9)))</formula>
    </cfRule>
    <cfRule type="containsText" priority="3" operator="containsText" aboveAverage="0" equalAverage="0" bottom="0" percent="0" rank="0" text="DA COMPLETARE" dxfId="1">
      <formula>NOT(ISERROR(SEARCH("DA COMPLETARE",T9)))</formula>
    </cfRule>
  </conditionalFormatting>
  <dataValidations count="6">
    <dataValidation allowBlank="false" errorStyle="stop" operator="between" showDropDown="false" showErrorMessage="false" showInputMessage="false" sqref="L9:L58" type="list">
      <formula1>"APPROVATO,CORREGGERE,ESCLUDERE"</formula1>
      <formula2>0</formula2>
    </dataValidation>
    <dataValidation allowBlank="false" errorStyle="stop" operator="between" showDropDown="false" showErrorMessage="false" showInputMessage="false" sqref="M9:M58" type="list">
      <formula1>"SI,NO"</formula1>
      <formula2>0</formula2>
    </dataValidation>
    <dataValidation allowBlank="false" errorStyle="stop" operator="between" showDropDown="false" showErrorMessage="false" showInputMessage="false" sqref="N9:N58" type="list">
      <formula1>"SI,NO"</formula1>
      <formula2>0</formula2>
    </dataValidation>
    <dataValidation allowBlank="false" errorStyle="stop" operator="between" showDropDown="false" showErrorMessage="false" showInputMessage="false" sqref="O9:O58" type="list">
      <formula1>"SI,NO"</formula1>
      <formula2>0</formula2>
    </dataValidation>
    <dataValidation allowBlank="false" errorStyle="stop" operator="between" showDropDown="false" showErrorMessage="false" showInputMessage="false" sqref="P9:P58" type="list">
      <formula1>"SI,NO"</formula1>
      <formula2>0</formula2>
    </dataValidation>
    <dataValidation allowBlank="false" errorStyle="stop" operator="between" showDropDown="false" showErrorMessage="false" showInputMessage="false" sqref="Q9:Q58" type="list">
      <formula1>"SI,NO"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2026-09-30T17:37:50Z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